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work\document\HT\青岛\ACLC\部署\"/>
    </mc:Choice>
  </mc:AlternateContent>
  <xr:revisionPtr revIDLastSave="0" documentId="13_ncr:1_{EC22EC91-6B48-47A7-B415-CA4FCE930E50}" xr6:coauthVersionLast="47" xr6:coauthVersionMax="47" xr10:uidLastSave="{00000000-0000-0000-0000-000000000000}"/>
  <bookViews>
    <workbookView xWindow="-120" yWindow="-120" windowWidth="20730" windowHeight="11160" firstSheet="7" activeTab="7" xr2:uid="{00000000-000D-0000-FFFF-FFFF00000000}"/>
  </bookViews>
  <sheets>
    <sheet name="新系统生产服务器" sheetId="6" state="hidden" r:id="rId1"/>
    <sheet name="生产服务器" sheetId="7" state="hidden" r:id="rId2"/>
    <sheet name="原服务器与微服务对应关系" sheetId="5" state="hidden" r:id="rId3"/>
    <sheet name="原生产服务器" sheetId="1" state="hidden" r:id="rId4"/>
    <sheet name="原SAN存储" sheetId="2" state="hidden" r:id="rId5"/>
    <sheet name="原内外服务器映射" sheetId="3" state="hidden" r:id="rId6"/>
    <sheet name="业务虚拟机生产 (2)" sheetId="20" state="hidden" r:id="rId7"/>
    <sheet name="业务虚拟机生产-B中心" sheetId="16" r:id="rId8"/>
    <sheet name="k8s集群使用说明-B中心" sheetId="17" r:id="rId9"/>
    <sheet name="最小配置" sheetId="15" state="hidden" r:id="rId10"/>
    <sheet name="业务虚拟机" sheetId="12" state="hidden" r:id="rId11"/>
    <sheet name="安装说明" sheetId="14" state="hidden" r:id="rId12"/>
    <sheet name="生产环境应用" sheetId="11" state="hidden" r:id="rId13"/>
    <sheet name="服务器高可用配置" sheetId="13" state="hidden" r:id="rId14"/>
    <sheet name="原服务器高可用配置" sheetId="4" state="hidden" r:id="rId15"/>
  </sheets>
  <definedNames>
    <definedName name="_xlnm._FilterDatabase" localSheetId="2" hidden="1">原服务器与微服务对应关系!$A$1:$F$65</definedName>
  </definedNames>
  <calcPr calcId="181029"/>
</workbook>
</file>

<file path=xl/calcChain.xml><?xml version="1.0" encoding="utf-8"?>
<calcChain xmlns="http://schemas.openxmlformats.org/spreadsheetml/2006/main">
  <c r="G23" i="12" l="1"/>
  <c r="F23" i="12"/>
  <c r="E23" i="12"/>
  <c r="H19" i="15"/>
  <c r="G19" i="15"/>
  <c r="F19" i="15"/>
  <c r="B10" i="6"/>
</calcChain>
</file>

<file path=xl/sharedStrings.xml><?xml version="1.0" encoding="utf-8"?>
<sst xmlns="http://schemas.openxmlformats.org/spreadsheetml/2006/main" count="790" uniqueCount="417">
  <si>
    <t>服务器名</t>
  </si>
  <si>
    <t>数量</t>
  </si>
  <si>
    <t>操作系统</t>
  </si>
  <si>
    <t>CPU核数</t>
  </si>
  <si>
    <t>物理内存(G)</t>
  </si>
  <si>
    <t>硬盘容量(G)，固态盘，IOPS&gt;300</t>
  </si>
  <si>
    <t>网速（1000G/S）</t>
  </si>
  <si>
    <t>说明</t>
  </si>
  <si>
    <t>云平台管理节点</t>
  </si>
  <si>
    <t>fedoracoreos</t>
  </si>
  <si>
    <t>500G</t>
  </si>
  <si>
    <t>云平台镜像仓库</t>
  </si>
  <si>
    <t>CENTOS7.9</t>
  </si>
  <si>
    <t>云平台路由节点</t>
  </si>
  <si>
    <t>主入口路由+云平台路由</t>
  </si>
  <si>
    <t>云平台数据节点</t>
  </si>
  <si>
    <t>2T</t>
  </si>
  <si>
    <t>云平台监控节点</t>
  </si>
  <si>
    <t>监控可视化/安装节点、yum库，ansible安装升级包</t>
  </si>
  <si>
    <t>业务节点</t>
  </si>
  <si>
    <t>1T</t>
  </si>
  <si>
    <t>业务冗余节点（30%）</t>
  </si>
  <si>
    <t>合计</t>
  </si>
  <si>
    <t>硬盘容量(G)，固态盘</t>
  </si>
  <si>
    <t>服务器业务及管理IP/存储IP</t>
  </si>
  <si>
    <t>cvknode01</t>
  </si>
  <si>
    <t>h3c虚拟化平台</t>
  </si>
  <si>
    <t>10.249.51.11/10.249.51.111</t>
  </si>
  <si>
    <t>cvknode02</t>
  </si>
  <si>
    <t>10.249.51.12/10.249.51.112</t>
  </si>
  <si>
    <t>cvknode03</t>
  </si>
  <si>
    <t>10.249.51.13/10.249.51.113</t>
  </si>
  <si>
    <t>cvknode04</t>
  </si>
  <si>
    <t>10.249.51.14/10.249.51.114</t>
  </si>
  <si>
    <t>共享存储</t>
  </si>
  <si>
    <t>4T</t>
  </si>
  <si>
    <t>h3c管理节点:10.249.51.10</t>
  </si>
  <si>
    <t>admin/Cloud@1234</t>
  </si>
  <si>
    <t>接入自己机器IP:</t>
  </si>
  <si>
    <t>10.249.50.200</t>
  </si>
  <si>
    <t>255.255.255.0</t>
  </si>
  <si>
    <t>10.249.50.254</t>
  </si>
  <si>
    <t>IP</t>
  </si>
  <si>
    <t>内存数</t>
  </si>
  <si>
    <t>堆内存</t>
  </si>
  <si>
    <t>服务名</t>
  </si>
  <si>
    <t>应用端口号</t>
  </si>
  <si>
    <t>备注</t>
  </si>
  <si>
    <t>10.249.25.101</t>
  </si>
  <si>
    <t>64G</t>
  </si>
  <si>
    <t>Nginx服务</t>
  </si>
  <si>
    <t>443/80/8088</t>
  </si>
  <si>
    <t>6G</t>
  </si>
  <si>
    <t>Zuul网关服务</t>
  </si>
  <si>
    <t>keepalive</t>
  </si>
  <si>
    <t>10.249.25.113</t>
  </si>
  <si>
    <t>10.249.25.102</t>
  </si>
  <si>
    <t>10.249.25.103</t>
  </si>
  <si>
    <t>2G</t>
  </si>
  <si>
    <t>Eureka服务</t>
  </si>
  <si>
    <t>configcenter</t>
  </si>
  <si>
    <t>4G</t>
  </si>
  <si>
    <t>3G</t>
  </si>
  <si>
    <t>f2f-master</t>
  </si>
  <si>
    <t>alipay-f2f</t>
  </si>
  <si>
    <t>ibom</t>
  </si>
  <si>
    <t>pre-unionpay</t>
  </si>
  <si>
    <t>wxpay</t>
  </si>
  <si>
    <t>10.249.25.104</t>
  </si>
  <si>
    <t>online</t>
  </si>
  <si>
    <t>10.249.25.105</t>
  </si>
  <si>
    <t>ticket</t>
  </si>
  <si>
    <t>account</t>
  </si>
  <si>
    <t>alipay-pay</t>
  </si>
  <si>
    <t>paymaster</t>
  </si>
  <si>
    <t>wxpay-f2f</t>
  </si>
  <si>
    <t>10.249.25.106</t>
  </si>
  <si>
    <t>10.249.25.107</t>
  </si>
  <si>
    <t>1200M</t>
  </si>
  <si>
    <t>task</t>
  </si>
  <si>
    <t>pay-check-task</t>
  </si>
  <si>
    <t>system</t>
  </si>
  <si>
    <t>app</t>
  </si>
  <si>
    <t>faceonline</t>
  </si>
  <si>
    <t>qlbpay</t>
  </si>
  <si>
    <t>10.249.25.114</t>
  </si>
  <si>
    <t>10.249.25.108</t>
  </si>
  <si>
    <t>manage</t>
  </si>
  <si>
    <t>10.249.25.109</t>
  </si>
  <si>
    <t>Hystrixdashboard</t>
  </si>
  <si>
    <t>Hystrixturbine</t>
  </si>
  <si>
    <t>Zipkin路由监控服务</t>
  </si>
  <si>
    <t>GIT服务器</t>
  </si>
  <si>
    <t>Kafka服务器</t>
  </si>
  <si>
    <t>2181/9092</t>
  </si>
  <si>
    <t>springboot admin</t>
  </si>
  <si>
    <t>原itp服务实例共49个，使用内存合计136G
新服务服务实例30个，使用内存合计90G
新服务中的平台服务实例4个，使用内存合计16G
新服务中的平台服务skywalkingoap 8G,skywalkingui 4G,es 6c 48G,86实例*2C+6C</t>
  </si>
  <si>
    <t>内存总计:302G--320G</t>
  </si>
  <si>
    <t>32G</t>
  </si>
  <si>
    <t>10台</t>
  </si>
  <si>
    <t xml:space="preserve">核数：178C--192C  </t>
  </si>
  <si>
    <t>16C</t>
  </si>
  <si>
    <t>12台</t>
  </si>
  <si>
    <t>服务器IP</t>
  </si>
  <si>
    <t>服务器用户名/密码</t>
  </si>
  <si>
    <t>物理内存/SWAP内存</t>
  </si>
  <si>
    <t>home容量/硬盘容量</t>
  </si>
  <si>
    <t>网速</t>
  </si>
  <si>
    <t>互联网平台服务器1</t>
  </si>
  <si>
    <t>root/Jnitp@123</t>
  </si>
  <si>
    <t>CENTOS7.2</t>
  </si>
  <si>
    <t>32G/</t>
  </si>
  <si>
    <t xml:space="preserve"> 200GB/300GB</t>
  </si>
  <si>
    <t>互联网平台服务器2</t>
  </si>
  <si>
    <t>互联网平台服务器3</t>
  </si>
  <si>
    <t>互联网平台服务器4</t>
  </si>
  <si>
    <t>互联网平台服务器5</t>
  </si>
  <si>
    <t>互联网平台服务器6</t>
  </si>
  <si>
    <t>互联网平台服务器7</t>
  </si>
  <si>
    <t>互联网平台服务器8</t>
  </si>
  <si>
    <t>互联网平台服务器9</t>
  </si>
  <si>
    <t>内存单独增加了32G,更新后是64G</t>
  </si>
  <si>
    <t>存储类型</t>
  </si>
  <si>
    <t>存储池</t>
  </si>
  <si>
    <t>容量</t>
  </si>
  <si>
    <t>计划用途</t>
  </si>
  <si>
    <t>实际用途</t>
  </si>
  <si>
    <t>共享存储1</t>
  </si>
  <si>
    <t>SAN存储</t>
  </si>
  <si>
    <t>池1</t>
  </si>
  <si>
    <t>2.5T</t>
  </si>
  <si>
    <t>ACC数据库</t>
  </si>
  <si>
    <t>ACC数据库+互联网平台数据库</t>
  </si>
  <si>
    <t>池2</t>
  </si>
  <si>
    <t>ACC应用</t>
  </si>
  <si>
    <t>共享存储2</t>
  </si>
  <si>
    <t>互联网平台数据库</t>
  </si>
  <si>
    <t>空闲</t>
  </si>
  <si>
    <t>互联网平台应用</t>
  </si>
  <si>
    <t>待分配</t>
  </si>
  <si>
    <t>服务器需要Hba卡,目前七台都没有安装,姜士鹏在协调中</t>
  </si>
  <si>
    <t>池3</t>
  </si>
  <si>
    <t>400G</t>
  </si>
  <si>
    <t>ACC前置机应用</t>
  </si>
  <si>
    <t>本页内容未核实,待硬件落地以后需要对应</t>
  </si>
  <si>
    <t>外网服务器地址</t>
  </si>
  <si>
    <t>外网服务器端口</t>
  </si>
  <si>
    <t>内网服务器地址</t>
  </si>
  <si>
    <t>内网服务器端口号</t>
  </si>
  <si>
    <t>用途</t>
  </si>
  <si>
    <t>120.224.47.119</t>
  </si>
  <si>
    <t>登录控制</t>
  </si>
  <si>
    <t>app访问</t>
  </si>
  <si>
    <t>内部应用访问</t>
  </si>
  <si>
    <t>综合管理</t>
  </si>
  <si>
    <t>10.249.24.22</t>
  </si>
  <si>
    <t>登录控制(测试)</t>
  </si>
  <si>
    <t>app访问(测试)</t>
  </si>
  <si>
    <t>综合管理(测试)</t>
  </si>
  <si>
    <t>域名</t>
  </si>
  <si>
    <t>app.jngdjt.cn</t>
  </si>
  <si>
    <t>序号</t>
  </si>
  <si>
    <t>虚拟机名</t>
  </si>
  <si>
    <t>硬盘容量(G)</t>
  </si>
  <si>
    <t>EIP</t>
  </si>
  <si>
    <t>浮动IP/EIP</t>
  </si>
  <si>
    <t>安装节点</t>
  </si>
  <si>
    <t>paas-setup.cn.com</t>
  </si>
  <si>
    <t>麒麟v10</t>
  </si>
  <si>
    <t>前置路由负载主</t>
  </si>
  <si>
    <t>前置路由负载备</t>
  </si>
  <si>
    <t>镜像仓库主</t>
  </si>
  <si>
    <t>paas-registry1.cn.com</t>
  </si>
  <si>
    <t>镜像仓库备</t>
  </si>
  <si>
    <t>NFS存储节点</t>
  </si>
  <si>
    <t>paas-cs-nfs.cn.com</t>
  </si>
  <si>
    <t>k8s集群负载主</t>
  </si>
  <si>
    <t>paas-cluster-nginx01.cn.com</t>
  </si>
  <si>
    <t>k8s主节点1</t>
  </si>
  <si>
    <t>paas-master01.cn.com</t>
  </si>
  <si>
    <t>固态存储</t>
  </si>
  <si>
    <t>k8s主节点2</t>
  </si>
  <si>
    <t>paas-master02.cn.com</t>
  </si>
  <si>
    <t>k8s主节点3</t>
  </si>
  <si>
    <t>paas-master03.cn.com</t>
  </si>
  <si>
    <t>k8s路由节点1</t>
  </si>
  <si>
    <t>paas-infra01.cn.com</t>
  </si>
  <si>
    <t>k8s路由节点2</t>
  </si>
  <si>
    <t>paas-infra02.cn.com</t>
  </si>
  <si>
    <t>k8s工作节点1</t>
  </si>
  <si>
    <t>k8s工作节点2</t>
  </si>
  <si>
    <t>paas-node0002.cn.com</t>
  </si>
  <si>
    <t>k8s工作节点3</t>
  </si>
  <si>
    <t>paas-node0003.cn.com</t>
  </si>
  <si>
    <t>k8s工作节点4</t>
  </si>
  <si>
    <t>paas-node0004.cn.com</t>
  </si>
  <si>
    <t>k8s工作节点5</t>
  </si>
  <si>
    <t>paas-node0005.cn.com</t>
  </si>
  <si>
    <t>输入镜像推送帐号</t>
  </si>
  <si>
    <t>cpu类型</t>
  </si>
  <si>
    <t>固定IP</t>
  </si>
  <si>
    <t>浮动IP</t>
  </si>
  <si>
    <t>海光</t>
  </si>
  <si>
    <t>10.90.3.11</t>
  </si>
  <si>
    <t>172.30.1.42</t>
  </si>
  <si>
    <t>前置负载主</t>
  </si>
  <si>
    <t>paas-nginx.cn.com</t>
  </si>
  <si>
    <t>10.90.3.12</t>
  </si>
  <si>
    <t>172.30.1.36</t>
  </si>
  <si>
    <t>需求提供一个浮动IP</t>
  </si>
  <si>
    <t>10.90.3.13</t>
  </si>
  <si>
    <t>172.30.1.37</t>
  </si>
  <si>
    <t>admin/harbor@123
harbor/Harbor123</t>
  </si>
  <si>
    <t>10.90.3.14</t>
  </si>
  <si>
    <t>10.90.3.15</t>
  </si>
  <si>
    <t>10.90.3.16</t>
  </si>
  <si>
    <t>10.90.3.17</t>
  </si>
  <si>
    <t>paas-worker01.cn.com</t>
  </si>
  <si>
    <t>10.90.3.18</t>
  </si>
  <si>
    <t>paas-worker02.cn.com</t>
  </si>
  <si>
    <t>10.90.3.19</t>
  </si>
  <si>
    <t>paas-worker03.cn.com</t>
  </si>
  <si>
    <t>10.90.3.20</t>
  </si>
  <si>
    <t>GBASE数据库节点1</t>
  </si>
  <si>
    <t>10.90.3.7</t>
  </si>
  <si>
    <t>172.30.1.54</t>
  </si>
  <si>
    <t>建议SSD</t>
  </si>
  <si>
    <t>GBASE数据库节点2</t>
  </si>
  <si>
    <t>10.90.3.36</t>
  </si>
  <si>
    <t>172.30.1.120</t>
  </si>
  <si>
    <t>GBASE数据库节点3</t>
  </si>
  <si>
    <t>10.90.3.79</t>
  </si>
  <si>
    <t>172.30.1.194</t>
  </si>
  <si>
    <t>redis节点1</t>
  </si>
  <si>
    <t>10.90.3.24</t>
  </si>
  <si>
    <t>172.30.1.43</t>
  </si>
  <si>
    <t>需要VPN开启6379、26379端口权限</t>
  </si>
  <si>
    <t>redis节点2</t>
  </si>
  <si>
    <t>10.90.3.25</t>
  </si>
  <si>
    <t>172.30.1.44</t>
  </si>
  <si>
    <t>redis节点3</t>
  </si>
  <si>
    <t>10.90.3.26</t>
  </si>
  <si>
    <t>172.30.1.45</t>
  </si>
  <si>
    <t>1、虚拟机由我们来统一创建，我们要做模板机</t>
  </si>
  <si>
    <t>2、k8s主节点三台机器存储需要固态硬盘</t>
  </si>
  <si>
    <t>密码：Tjg.abc@123</t>
  </si>
  <si>
    <t>vpn访问地址：https://221.239.24.229:4430</t>
  </si>
  <si>
    <t>用户名：jgttest</t>
  </si>
  <si>
    <t>密码：jgt123456@</t>
  </si>
  <si>
    <t>ssh -c aes128-gcm@openssh.com    ip</t>
  </si>
  <si>
    <t>前置负载备</t>
  </si>
  <si>
    <t>安装说明：</t>
  </si>
  <si>
    <t>2、考虑到高可用，有些节点采用主备安装，资源不够可以去掉一个备机，如果要主备模式还要提供浮动地址</t>
  </si>
  <si>
    <t>3、k8s路由节点1和k8s路由节点2资源不够可以去掉</t>
  </si>
  <si>
    <t>4、k8s工作节点4和k8s工作节点5资源不够可以去掉，如果感觉节点不够可以增加</t>
  </si>
  <si>
    <t>5、k8s主节点三台机器存储需要固态硬盘</t>
  </si>
  <si>
    <t>应用</t>
  </si>
  <si>
    <t>端口</t>
  </si>
  <si>
    <t>nginx</t>
  </si>
  <si>
    <t>10.249.51.30</t>
  </si>
  <si>
    <t>80/8088/5672/15672</t>
  </si>
  <si>
    <t>docker镜像</t>
  </si>
  <si>
    <t>10.249.51.40</t>
  </si>
  <si>
    <t>浮动IP地址</t>
  </si>
  <si>
    <t>主备</t>
  </si>
  <si>
    <t>10.249.51.31</t>
  </si>
  <si>
    <t>主</t>
  </si>
  <si>
    <t>paas route/paas master/rabbitmq</t>
  </si>
  <si>
    <t>10.249.51.32</t>
  </si>
  <si>
    <t>备</t>
  </si>
  <si>
    <t>10.249.51.41</t>
  </si>
  <si>
    <t>harbor/coredns</t>
  </si>
  <si>
    <t>10.249.51.42</t>
  </si>
  <si>
    <t>yum库\ansible安装\Base节点</t>
  </si>
  <si>
    <t xml:space="preserve">访问域名:paas-dockerregistry.ht.com  
dockerlogin:harbor/Harbor123
weblogin:admin/Harbor@123
</t>
  </si>
  <si>
    <t>paas平台访问地址:console-openshift-console.apps.okd4.ht.com</t>
  </si>
  <si>
    <t>在10.249.51.25</t>
  </si>
  <si>
    <t>帐号：admin/admin@123</t>
  </si>
  <si>
    <t>htacc/htacc@123</t>
  </si>
  <si>
    <t>备注：目前master/route负载在10.249.51.32,测试完毕，将10.249.51.32 nginx.conf拷备至10.249.51.31,
同时修改10.249.51.41和42中本地/etc/hosts中的api.okd4.ht.com和api-int.okd4.ht.com路由地址由10.249.51.32改为10.249.51.30。
修改/etc/coredns/corefile中的10.249.51.32改为10.249.51.30</t>
  </si>
  <si>
    <t>nginx高可用</t>
  </si>
  <si>
    <t>人脸前置高可用</t>
  </si>
  <si>
    <t>paas-route-nginx01.cn.com</t>
    <phoneticPr fontId="13" type="noConversion"/>
  </si>
  <si>
    <t>paas-node0001.cn.com</t>
    <phoneticPr fontId="13" type="noConversion"/>
  </si>
  <si>
    <t>k8s工作节点6</t>
  </si>
  <si>
    <t>k8s工作节点7</t>
  </si>
  <si>
    <t>k8s工作节点8</t>
  </si>
  <si>
    <t>paas-node0006.cn.com</t>
    <phoneticPr fontId="13" type="noConversion"/>
  </si>
  <si>
    <t>paas-node0007.cn.com</t>
    <phoneticPr fontId="13" type="noConversion"/>
  </si>
  <si>
    <t>paas-node0008.cn.com</t>
    <phoneticPr fontId="13" type="noConversion"/>
  </si>
  <si>
    <t>anolis8.9</t>
  </si>
  <si>
    <t>anolis8.9</t>
    <phoneticPr fontId="13" type="noConversion"/>
  </si>
  <si>
    <t>镜像仓库主</t>
    <phoneticPr fontId="13" type="noConversion"/>
  </si>
  <si>
    <r>
      <t>paas-registry</t>
    </r>
    <r>
      <rPr>
        <sz val="11"/>
        <color indexed="8"/>
        <rFont val="等线"/>
        <family val="3"/>
        <charset val="134"/>
      </rPr>
      <t>2</t>
    </r>
    <r>
      <rPr>
        <sz val="11"/>
        <color indexed="8"/>
        <rFont val="等线"/>
        <family val="3"/>
        <charset val="134"/>
      </rPr>
      <t>.cn.com</t>
    </r>
    <phoneticPr fontId="13" type="noConversion"/>
  </si>
  <si>
    <t>操作系统</t>
    <phoneticPr fontId="13" type="noConversion"/>
  </si>
  <si>
    <t>宿主机</t>
    <phoneticPr fontId="13" type="noConversion"/>
  </si>
  <si>
    <t>paas-setup.cn.com</t>
    <phoneticPr fontId="13" type="noConversion"/>
  </si>
  <si>
    <t>paas-nginx02.cn.com</t>
    <phoneticPr fontId="13" type="noConversion"/>
  </si>
  <si>
    <t>10.249.232.30</t>
    <phoneticPr fontId="13" type="noConversion"/>
  </si>
  <si>
    <t>10.249.232.31</t>
    <phoneticPr fontId="13" type="noConversion"/>
  </si>
  <si>
    <t>10.249.232.32</t>
    <phoneticPr fontId="13" type="noConversion"/>
  </si>
  <si>
    <t>10.249.232.41</t>
    <phoneticPr fontId="13" type="noConversion"/>
  </si>
  <si>
    <r>
      <t>10.249.</t>
    </r>
    <r>
      <rPr>
        <sz val="11"/>
        <color indexed="8"/>
        <rFont val="等线"/>
        <family val="3"/>
        <charset val="134"/>
      </rPr>
      <t>232</t>
    </r>
    <r>
      <rPr>
        <sz val="11"/>
        <color indexed="8"/>
        <rFont val="等线"/>
        <family val="3"/>
        <charset val="134"/>
      </rPr>
      <t>.42</t>
    </r>
    <phoneticPr fontId="13" type="noConversion"/>
  </si>
  <si>
    <t>10.249.232.35</t>
    <phoneticPr fontId="13" type="noConversion"/>
  </si>
  <si>
    <t>10.249.232.51</t>
    <phoneticPr fontId="13" type="noConversion"/>
  </si>
  <si>
    <t>10.249.232.52</t>
    <phoneticPr fontId="13" type="noConversion"/>
  </si>
  <si>
    <t>10.249.232.53</t>
    <phoneticPr fontId="13" type="noConversion"/>
  </si>
  <si>
    <t>10.249.232.55</t>
    <phoneticPr fontId="13" type="noConversion"/>
  </si>
  <si>
    <r>
      <t>10.249.232.5</t>
    </r>
    <r>
      <rPr>
        <sz val="11"/>
        <color indexed="8"/>
        <rFont val="等线"/>
        <family val="3"/>
        <charset val="134"/>
      </rPr>
      <t>6</t>
    </r>
    <phoneticPr fontId="13" type="noConversion"/>
  </si>
  <si>
    <t>10.249.232.61</t>
    <phoneticPr fontId="13" type="noConversion"/>
  </si>
  <si>
    <t>10.249.232.62</t>
  </si>
  <si>
    <t>10.249.232.63</t>
  </si>
  <si>
    <t>10.249.232.64</t>
  </si>
  <si>
    <t>10.249.232.65</t>
  </si>
  <si>
    <t>10.249.232.66</t>
  </si>
  <si>
    <t>10.249.232.67</t>
  </si>
  <si>
    <t>10.249.232.68</t>
  </si>
  <si>
    <t>10.249.232.33/34</t>
    <phoneticPr fontId="13" type="noConversion"/>
  </si>
  <si>
    <r>
      <t>10.249.232.4</t>
    </r>
    <r>
      <rPr>
        <sz val="11"/>
        <color rgb="FFFF0000"/>
        <rFont val="黑体"/>
        <family val="3"/>
        <charset val="134"/>
      </rPr>
      <t>3</t>
    </r>
    <phoneticPr fontId="13" type="noConversion"/>
  </si>
  <si>
    <t>paas-registry1.cn.com</t>
    <phoneticPr fontId="13" type="noConversion"/>
  </si>
  <si>
    <t>云管台</t>
    <phoneticPr fontId="13" type="noConversion"/>
  </si>
  <si>
    <t>向日葵账号：</t>
    <phoneticPr fontId="13" type="noConversion"/>
  </si>
  <si>
    <t xml:space="preserve">长期验证码 </t>
    <phoneticPr fontId="13" type="noConversion"/>
  </si>
  <si>
    <t>机器账号：</t>
    <phoneticPr fontId="13" type="noConversion"/>
  </si>
  <si>
    <t>业务服务对外地址</t>
    <phoneticPr fontId="13" type="noConversion"/>
  </si>
  <si>
    <t>工作节点</t>
  </si>
  <si>
    <t>工作节点</t>
    <phoneticPr fontId="13" type="noConversion"/>
  </si>
  <si>
    <t>控制节点1</t>
    <phoneticPr fontId="13" type="noConversion"/>
  </si>
  <si>
    <t>控制节点2</t>
    <phoneticPr fontId="13" type="noConversion"/>
  </si>
  <si>
    <t>控制节点3</t>
    <phoneticPr fontId="13" type="noConversion"/>
  </si>
  <si>
    <t>H3Linux Release 1.1.0</t>
    <phoneticPr fontId="13" type="noConversion"/>
  </si>
  <si>
    <t>镜像库控制台</t>
    <phoneticPr fontId="13" type="noConversion"/>
  </si>
  <si>
    <r>
      <t>镜像推送[可以通过控制台上传]</t>
    </r>
    <r>
      <rPr>
        <sz val="11"/>
        <color rgb="FFFF0000"/>
        <rFont val="等线"/>
        <family val="3"/>
        <charset val="134"/>
      </rPr>
      <t>:</t>
    </r>
    <phoneticPr fontId="13" type="noConversion"/>
  </si>
  <si>
    <r>
      <t>镜像库推送帐号：itpadmin/Itpadmin</t>
    </r>
    <r>
      <rPr>
        <sz val="11"/>
        <color indexed="8"/>
        <rFont val="等线"/>
        <family val="3"/>
        <charset val="134"/>
      </rPr>
      <t>@123</t>
    </r>
    <phoneticPr fontId="13" type="noConversion"/>
  </si>
  <si>
    <t>prometheus控制台</t>
    <phoneticPr fontId="13" type="noConversion"/>
  </si>
  <si>
    <t>指标监控制台【grafana】</t>
    <phoneticPr fontId="13" type="noConversion"/>
  </si>
  <si>
    <t>链路控制台【jaeger】</t>
    <phoneticPr fontId="13" type="noConversion"/>
  </si>
  <si>
    <t>微服务控制台【kiali】</t>
    <phoneticPr fontId="13" type="noConversion"/>
  </si>
  <si>
    <t>测试应用</t>
    <phoneticPr fontId="13" type="noConversion"/>
  </si>
  <si>
    <t>云平台</t>
    <phoneticPr fontId="13" type="noConversion"/>
  </si>
  <si>
    <t>v2.0</t>
    <phoneticPr fontId="13" type="noConversion"/>
  </si>
  <si>
    <t>v2.54.1</t>
    <phoneticPr fontId="13" type="noConversion"/>
  </si>
  <si>
    <t>11.2.2-security-01</t>
    <phoneticPr fontId="13" type="noConversion"/>
  </si>
  <si>
    <t>os-harbor-svc.default.svc.cloudos:443</t>
    <phoneticPr fontId="13" type="noConversion"/>
  </si>
  <si>
    <t xml:space="preserve"> os-harbor-svc.default.svc.cloudos:443/itpb/daily-ticket-server:1.0.69</t>
    <phoneticPr fontId="13" type="noConversion"/>
  </si>
  <si>
    <t>172.120.2.11</t>
  </si>
  <si>
    <t>172.120.2.12</t>
  </si>
  <si>
    <t>172.120.2.13</t>
  </si>
  <si>
    <t>172.120.2.15</t>
  </si>
  <si>
    <t>172.120.2.16</t>
  </si>
  <si>
    <t>172.120.2.18</t>
  </si>
  <si>
    <t>172.120.2.19</t>
  </si>
  <si>
    <t>172.120.2.20</t>
  </si>
  <si>
    <t>172.120.2.21</t>
  </si>
  <si>
    <t>172.120.2.22</t>
  </si>
  <si>
    <t>172.120.2.23</t>
  </si>
  <si>
    <t>172.120.2.24</t>
  </si>
  <si>
    <t>172.120.2.25</t>
  </si>
  <si>
    <t>root/Passw0rd@k8s02</t>
    <phoneticPr fontId="13" type="noConversion"/>
  </si>
  <si>
    <t>172.120.209.151</t>
    <phoneticPr fontId="13" type="noConversion"/>
  </si>
  <si>
    <t>登录帐号：itpbdmin/QDitp@123!@#</t>
    <phoneticPr fontId="13" type="noConversion"/>
  </si>
  <si>
    <t>kubernetes-itpb-master-4bbd9</t>
    <phoneticPr fontId="13" type="noConversion"/>
  </si>
  <si>
    <t>kubernetes-itpb-master-19b80</t>
    <phoneticPr fontId="13" type="noConversion"/>
  </si>
  <si>
    <t>kubernetes-itpb-master-b2f27</t>
    <phoneticPr fontId="13" type="noConversion"/>
  </si>
  <si>
    <t>kubernetes-itpb-worker-fcbf4</t>
    <phoneticPr fontId="13" type="noConversion"/>
  </si>
  <si>
    <t>kubernetes-itpb-worker-b37c5</t>
    <phoneticPr fontId="13" type="noConversion"/>
  </si>
  <si>
    <t>kubernetes-itpb-worker-6af82</t>
    <phoneticPr fontId="13" type="noConversion"/>
  </si>
  <si>
    <t>kubernetes-itpb-worker-88f2b</t>
    <phoneticPr fontId="13" type="noConversion"/>
  </si>
  <si>
    <t>kubernetes-itpb-worker-7dcbb</t>
    <phoneticPr fontId="13" type="noConversion"/>
  </si>
  <si>
    <t>kubernetes-itpb-worker-bae32</t>
    <phoneticPr fontId="13" type="noConversion"/>
  </si>
  <si>
    <t>kubernetes-itpb-worker-214cf</t>
    <phoneticPr fontId="13" type="noConversion"/>
  </si>
  <si>
    <t>kubernetes-itpb-worker-396e0</t>
    <phoneticPr fontId="13" type="noConversion"/>
  </si>
  <si>
    <t>kubernetes-itpb-worker-15c6d</t>
    <phoneticPr fontId="13" type="noConversion"/>
  </si>
  <si>
    <t>kubernetes-itpb-worker-d664b</t>
    <phoneticPr fontId="13" type="noConversion"/>
  </si>
  <si>
    <t>kubernetes-itpb-worker-04c59</t>
    <phoneticPr fontId="13" type="noConversion"/>
  </si>
  <si>
    <t>kubernetes-itpb-worker-82632</t>
    <phoneticPr fontId="13" type="noConversion"/>
  </si>
  <si>
    <t>kubernetes-itpb-worker-f8397</t>
    <phoneticPr fontId="13" type="noConversion"/>
  </si>
  <si>
    <t>https://172.120.209.151</t>
    <phoneticPr fontId="13" type="noConversion"/>
  </si>
  <si>
    <t>itpbdmin/QDitp@123!@#</t>
  </si>
  <si>
    <t>itpbdmin/QDitp@123!@#</t>
    <phoneticPr fontId="13" type="noConversion"/>
  </si>
  <si>
    <r>
      <t>应用库名：itp</t>
    </r>
    <r>
      <rPr>
        <sz val="11"/>
        <color indexed="8"/>
        <rFont val="等线"/>
        <family val="3"/>
        <charset val="134"/>
      </rPr>
      <t>b</t>
    </r>
    <phoneticPr fontId="13" type="noConversion"/>
  </si>
  <si>
    <t>镜像域名：os-harbor-svc.default.svc.cloudos:443/</t>
    <phoneticPr fontId="13" type="noConversion"/>
  </si>
  <si>
    <t>http://172.120.2.26:48000</t>
    <phoneticPr fontId="13" type="noConversion"/>
  </si>
  <si>
    <t>172.120.2.26</t>
    <phoneticPr fontId="13" type="noConversion"/>
  </si>
  <si>
    <t>172.120.2.27</t>
    <phoneticPr fontId="13" type="noConversion"/>
  </si>
  <si>
    <t>172.120.2.28</t>
    <phoneticPr fontId="13" type="noConversion"/>
  </si>
  <si>
    <t>172.120.2.29</t>
    <phoneticPr fontId="13" type="noConversion"/>
  </si>
  <si>
    <t>kubernetes-itpb-worker-ec8c3</t>
    <phoneticPr fontId="13" type="noConversion"/>
  </si>
  <si>
    <t>kubernetes-itpb-worker-c4051</t>
    <phoneticPr fontId="13" type="noConversion"/>
  </si>
  <si>
    <t>kubernetes-itpb-worker-bb2b2</t>
    <phoneticPr fontId="13" type="noConversion"/>
  </si>
  <si>
    <t>172.120.2.71</t>
    <phoneticPr fontId="13" type="noConversion"/>
  </si>
  <si>
    <t>172.120.2.30</t>
  </si>
  <si>
    <t>172.120.2.31</t>
  </si>
  <si>
    <t>172.120.2.32</t>
  </si>
  <si>
    <t>172.120.2.33</t>
  </si>
  <si>
    <t>172.120.2.34</t>
  </si>
  <si>
    <t>kubernetes-itpb-worker-f0a96</t>
  </si>
  <si>
    <t>kubernetes-itpb-worker-84c13</t>
  </si>
  <si>
    <t>kubernetes-itpb-worker-4a32c</t>
    <phoneticPr fontId="13" type="noConversion"/>
  </si>
  <si>
    <t>kubernetes-itpb-worker-f5df6</t>
    <phoneticPr fontId="13" type="noConversion"/>
  </si>
  <si>
    <t>kubernetes-itpb-worker-74bf7</t>
    <phoneticPr fontId="13" type="noConversion"/>
  </si>
  <si>
    <t>H3Linux Release 1.1.0</t>
  </si>
  <si>
    <t>日志服务</t>
    <phoneticPr fontId="13" type="noConversion"/>
  </si>
  <si>
    <t>ITP01</t>
    <phoneticPr fontId="13" type="noConversion"/>
  </si>
  <si>
    <t>Kylin Linux Advanced Server V10</t>
    <phoneticPr fontId="13" type="noConversion"/>
  </si>
  <si>
    <t>2、podman login os-harbor-svc.default.svc.cloudos:11443/itpb</t>
    <phoneticPr fontId="13" type="noConversion"/>
  </si>
  <si>
    <r>
      <t>1、</t>
    </r>
    <r>
      <rPr>
        <sz val="11"/>
        <color indexed="8"/>
        <rFont val="等线"/>
        <family val="3"/>
        <charset val="134"/>
      </rPr>
      <t xml:space="preserve">podman tag </t>
    </r>
    <phoneticPr fontId="13" type="noConversion"/>
  </si>
  <si>
    <t>例子：podman  tag docker.io/istio/pilot:1.20.3 os-harbor-svc.default.svc.cloudos:443/itpb/pilot:1.20.3</t>
    <phoneticPr fontId="13" type="noConversion"/>
  </si>
  <si>
    <t>3、podman push os-harbor-svc.default.svc.cloudos:443/itpb/pilot:1.20.3</t>
    <phoneticPr fontId="13" type="noConversion"/>
  </si>
  <si>
    <t>root/QDITP@zif156</t>
    <phoneticPr fontId="13" type="noConversion"/>
  </si>
  <si>
    <t>172.120.2.17</t>
    <phoneticPr fontId="13" type="noConversion"/>
  </si>
  <si>
    <t>token获取:kubectl create token kiali-admin -n istio-system</t>
    <phoneticPr fontId="13" type="noConversion"/>
  </si>
  <si>
    <t>172.120.2.14</t>
    <phoneticPr fontId="13" type="noConversion"/>
  </si>
  <si>
    <t>http://172.120.2.14:30001/</t>
    <phoneticPr fontId="13" type="noConversion"/>
  </si>
  <si>
    <t>http://172.120.2.14:30002/</t>
    <phoneticPr fontId="13" type="noConversion"/>
  </si>
  <si>
    <t>http://172.120.2.14:30003/</t>
    <phoneticPr fontId="13" type="noConversion"/>
  </si>
  <si>
    <t>http://172.120.2.14:31118/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</si>
</sst>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charset val="134"/>
    </font>
    <font>
      <sz val="14"/>
      <color indexed="8"/>
      <name val="等线 Light"/>
      <family val="3"/>
      <charset val="134"/>
    </font>
    <font>
      <b/>
      <sz val="14"/>
      <color indexed="8"/>
      <name val="等线 Light"/>
      <family val="3"/>
      <charset val="134"/>
    </font>
    <font>
      <sz val="11"/>
      <color indexed="8"/>
      <name val="黑体"/>
      <family val="3"/>
      <charset val="134"/>
    </font>
    <font>
      <sz val="11"/>
      <color rgb="FFFF0000"/>
      <name val="等线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rgb="FFFF0000"/>
      <name val="等线"/>
      <family val="3"/>
      <charset val="134"/>
    </font>
    <font>
      <sz val="11"/>
      <color rgb="FFFF0000"/>
      <name val="黑体"/>
      <family val="3"/>
      <charset val="134"/>
    </font>
    <font>
      <u/>
      <sz val="11"/>
      <color indexed="30"/>
      <name val="等线"/>
      <family val="3"/>
      <charset val="134"/>
    </font>
    <font>
      <sz val="11"/>
      <color indexed="10"/>
      <name val="等线"/>
      <family val="3"/>
      <charset val="134"/>
    </font>
    <font>
      <sz val="11"/>
      <color indexed="10"/>
      <name val="黑体"/>
      <family val="3"/>
      <charset val="134"/>
    </font>
    <font>
      <sz val="11"/>
      <color rgb="FF0066CC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rgb="FFFF0000"/>
      <name val="黑体"/>
      <family val="3"/>
      <charset val="134"/>
    </font>
    <font>
      <sz val="9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indexed="8"/>
      <name val="黑体"/>
      <family val="3"/>
      <charset val="134"/>
    </font>
    <font>
      <b/>
      <sz val="11"/>
      <color rgb="FFFF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86">
    <xf numFmtId="0" fontId="0" fillId="0" borderId="0" xfId="0" applyAlignment="1"/>
    <xf numFmtId="0" fontId="1" fillId="0" borderId="0" xfId="2" applyFont="1" applyAlignment="1"/>
    <xf numFmtId="0" fontId="12" fillId="0" borderId="0" xfId="2" applyAlignment="1"/>
    <xf numFmtId="0" fontId="2" fillId="2" borderId="1" xfId="2" applyFont="1" applyFill="1" applyBorder="1" applyAlignment="1">
      <alignment horizontal="center" vertical="center" wrapText="1"/>
    </xf>
    <xf numFmtId="0" fontId="12" fillId="0" borderId="3" xfId="2" applyBorder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3" fillId="0" borderId="0" xfId="2" applyFont="1" applyAlignment="1"/>
    <xf numFmtId="0" fontId="12" fillId="0" borderId="3" xfId="2" applyBorder="1" applyAlignment="1"/>
    <xf numFmtId="0" fontId="4" fillId="0" borderId="3" xfId="2" applyFont="1" applyBorder="1" applyAlignment="1">
      <alignment horizontal="center"/>
    </xf>
    <xf numFmtId="0" fontId="12" fillId="0" borderId="0" xfId="2" applyAlignment="1">
      <alignment wrapText="1"/>
    </xf>
    <xf numFmtId="0" fontId="4" fillId="0" borderId="0" xfId="2" applyFont="1" applyAlignment="1">
      <alignment wrapText="1"/>
    </xf>
    <xf numFmtId="0" fontId="0" fillId="3" borderId="0" xfId="0" applyFill="1" applyAlignment="1"/>
    <xf numFmtId="0" fontId="2" fillId="2" borderId="3" xfId="2" applyFont="1" applyFill="1" applyBorder="1" applyAlignment="1">
      <alignment horizontal="center" vertical="center" wrapText="1"/>
    </xf>
    <xf numFmtId="0" fontId="12" fillId="0" borderId="4" xfId="2" applyBorder="1" applyAlignment="1"/>
    <xf numFmtId="0" fontId="3" fillId="0" borderId="3" xfId="2" applyFont="1" applyBorder="1" applyAlignment="1">
      <alignment horizontal="center" vertical="center" wrapText="1"/>
    </xf>
    <xf numFmtId="0" fontId="12" fillId="0" borderId="3" xfId="2" applyBorder="1" applyAlignment="1">
      <alignment wrapText="1"/>
    </xf>
    <xf numFmtId="0" fontId="5" fillId="0" borderId="3" xfId="2" applyFont="1" applyBorder="1" applyAlignment="1"/>
    <xf numFmtId="0" fontId="3" fillId="0" borderId="0" xfId="2" applyFont="1" applyAlignment="1">
      <alignment horizontal="center" vertical="center" wrapText="1"/>
    </xf>
    <xf numFmtId="0" fontId="6" fillId="0" borderId="0" xfId="2" applyFont="1" applyAlignment="1"/>
    <xf numFmtId="0" fontId="2" fillId="2" borderId="0" xfId="2" applyFont="1" applyFill="1" applyAlignment="1">
      <alignment horizontal="center" vertical="center" wrapText="1"/>
    </xf>
    <xf numFmtId="0" fontId="3" fillId="0" borderId="2" xfId="2" applyFont="1" applyBorder="1" applyAlignment="1">
      <alignment vertical="center" wrapText="1"/>
    </xf>
    <xf numFmtId="0" fontId="3" fillId="0" borderId="3" xfId="2" applyFont="1" applyBorder="1" applyAlignment="1">
      <alignment vertical="center" wrapText="1"/>
    </xf>
    <xf numFmtId="0" fontId="7" fillId="0" borderId="4" xfId="2" applyFont="1" applyBorder="1" applyAlignment="1">
      <alignment horizontal="center" vertical="center" wrapText="1"/>
    </xf>
    <xf numFmtId="0" fontId="4" fillId="0" borderId="3" xfId="2" applyFont="1" applyBorder="1" applyAlignment="1"/>
    <xf numFmtId="0" fontId="0" fillId="0" borderId="4" xfId="2" applyFont="1" applyBorder="1" applyAlignment="1"/>
    <xf numFmtId="0" fontId="0" fillId="0" borderId="3" xfId="2" applyFont="1" applyBorder="1" applyAlignment="1"/>
    <xf numFmtId="0" fontId="7" fillId="0" borderId="3" xfId="2" applyFont="1" applyBorder="1" applyAlignment="1">
      <alignment horizontal="center" vertical="center" wrapText="1"/>
    </xf>
    <xf numFmtId="0" fontId="8" fillId="0" borderId="3" xfId="1" applyBorder="1" applyAlignment="1">
      <alignment horizontal="center" vertical="center" wrapText="1"/>
    </xf>
    <xf numFmtId="0" fontId="0" fillId="0" borderId="0" xfId="0">
      <alignment vertical="center"/>
    </xf>
    <xf numFmtId="0" fontId="4" fillId="0" borderId="0" xfId="0" applyFont="1" applyAlignment="1"/>
    <xf numFmtId="0" fontId="8" fillId="0" borderId="0" xfId="1" applyAlignment="1"/>
    <xf numFmtId="0" fontId="0" fillId="0" borderId="3" xfId="0" applyBorder="1" applyAlignment="1"/>
    <xf numFmtId="0" fontId="4" fillId="0" borderId="0" xfId="2" applyFont="1" applyAlignment="1"/>
    <xf numFmtId="0" fontId="8" fillId="0" borderId="0" xfId="1" applyAlignment="1">
      <alignment wrapText="1"/>
    </xf>
    <xf numFmtId="0" fontId="9" fillId="0" borderId="3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left" vertical="center" wrapText="1"/>
    </xf>
    <xf numFmtId="0" fontId="9" fillId="0" borderId="0" xfId="2" applyFont="1" applyAlignment="1"/>
    <xf numFmtId="0" fontId="3" fillId="0" borderId="3" xfId="2" applyFont="1" applyBorder="1" applyAlignment="1"/>
    <xf numFmtId="0" fontId="8" fillId="0" borderId="0" xfId="1" applyFill="1" applyAlignment="1"/>
    <xf numFmtId="0" fontId="12" fillId="0" borderId="0" xfId="2" applyAlignment="1">
      <alignment horizontal="center"/>
    </xf>
    <xf numFmtId="0" fontId="12" fillId="0" borderId="3" xfId="2" applyBorder="1">
      <alignment vertical="center"/>
    </xf>
    <xf numFmtId="0" fontId="3" fillId="0" borderId="3" xfId="2" applyFont="1" applyBorder="1" applyAlignment="1">
      <alignment horizontal="center"/>
    </xf>
    <xf numFmtId="0" fontId="12" fillId="0" borderId="2" xfId="2" applyBorder="1" applyAlignment="1"/>
    <xf numFmtId="0" fontId="12" fillId="0" borderId="5" xfId="2" applyBorder="1">
      <alignment vertical="center"/>
    </xf>
    <xf numFmtId="0" fontId="12" fillId="0" borderId="2" xfId="2" applyBorder="1" applyAlignment="1">
      <alignment horizontal="center"/>
    </xf>
    <xf numFmtId="0" fontId="2" fillId="2" borderId="7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12" fillId="0" borderId="3" xfId="2" applyBorder="1" applyAlignment="1">
      <alignment horizontal="center"/>
    </xf>
    <xf numFmtId="0" fontId="11" fillId="0" borderId="0" xfId="1" applyFont="1" applyFill="1" applyAlignment="1"/>
    <xf numFmtId="0" fontId="7" fillId="0" borderId="2" xfId="2" applyFont="1" applyBorder="1" applyAlignment="1">
      <alignment horizontal="center" vertical="center" wrapText="1"/>
    </xf>
    <xf numFmtId="0" fontId="0" fillId="0" borderId="3" xfId="2" applyFont="1" applyBorder="1" applyAlignment="1">
      <alignment wrapText="1"/>
    </xf>
    <xf numFmtId="0" fontId="14" fillId="0" borderId="4" xfId="2" applyFont="1" applyBorder="1" applyAlignment="1"/>
    <xf numFmtId="0" fontId="14" fillId="0" borderId="3" xfId="2" applyFont="1" applyBorder="1" applyAlignment="1"/>
    <xf numFmtId="0" fontId="12" fillId="0" borderId="4" xfId="2" applyBorder="1" applyAlignment="1">
      <alignment wrapText="1"/>
    </xf>
    <xf numFmtId="0" fontId="0" fillId="0" borderId="4" xfId="2" applyFont="1" applyBorder="1" applyAlignment="1">
      <alignment wrapText="1"/>
    </xf>
    <xf numFmtId="0" fontId="5" fillId="0" borderId="0" xfId="2" applyFont="1" applyAlignment="1"/>
    <xf numFmtId="0" fontId="17" fillId="0" borderId="0" xfId="0" applyFont="1" applyAlignment="1"/>
    <xf numFmtId="0" fontId="14" fillId="0" borderId="0" xfId="0" applyFont="1" applyAlignment="1"/>
    <xf numFmtId="0" fontId="6" fillId="0" borderId="3" xfId="2" applyFont="1" applyBorder="1" applyAlignment="1"/>
    <xf numFmtId="0" fontId="0" fillId="4" borderId="3" xfId="0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8" fillId="0" borderId="4" xfId="2" applyFont="1" applyBorder="1" applyAlignment="1">
      <alignment horizontal="center" vertical="center" wrapText="1"/>
    </xf>
    <xf numFmtId="0" fontId="19" fillId="0" borderId="3" xfId="2" applyFont="1" applyBorder="1" applyAlignment="1">
      <alignment horizontal="left" wrapText="1"/>
    </xf>
    <xf numFmtId="0" fontId="14" fillId="0" borderId="0" xfId="0" applyFont="1" applyAlignment="1">
      <alignment wrapText="1"/>
    </xf>
    <xf numFmtId="0" fontId="12" fillId="0" borderId="0" xfId="0" applyFont="1" applyAlignment="1"/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3" fillId="0" borderId="3" xfId="2" applyFont="1" applyBorder="1" applyAlignment="1">
      <alignment horizontal="center" vertical="center" wrapText="1"/>
    </xf>
    <xf numFmtId="0" fontId="12" fillId="0" borderId="3" xfId="2" applyBorder="1" applyAlignment="1">
      <alignment horizontal="center" vertical="center"/>
    </xf>
    <xf numFmtId="0" fontId="12" fillId="0" borderId="5" xfId="2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4" xfId="2" applyBorder="1" applyAlignment="1">
      <alignment horizontal="center" vertical="center"/>
    </xf>
    <xf numFmtId="0" fontId="12" fillId="0" borderId="6" xfId="2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/>
    </xf>
    <xf numFmtId="0" fontId="8" fillId="0" borderId="3" xfId="1" applyBorder="1" applyAlignment="1"/>
    <xf numFmtId="0" fontId="12" fillId="0" borderId="3" xfId="2" applyFont="1" applyBorder="1" applyAlignment="1"/>
  </cellXfs>
  <cellStyles count="4">
    <cellStyle name="常规" xfId="0" builtinId="0"/>
    <cellStyle name="常规 2" xfId="2" xr:uid="{00000000-0005-0000-0000-000031000000}"/>
    <cellStyle name="超链接" xfId="1" builtinId="8"/>
    <cellStyle name="超链接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root/QDITP@zif156" TargetMode="External"/><Relationship Id="rId1" Type="http://schemas.openxmlformats.org/officeDocument/2006/relationships/hyperlink" Target="mailto:root/Passw0rd@k8s02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itpbdmin/QDitp@123!@#" TargetMode="External"/><Relationship Id="rId3" Type="http://schemas.openxmlformats.org/officeDocument/2006/relationships/hyperlink" Target="https://172.120.209.151/" TargetMode="External"/><Relationship Id="rId7" Type="http://schemas.openxmlformats.org/officeDocument/2006/relationships/hyperlink" Target="http://172.120.2.14:30002/" TargetMode="External"/><Relationship Id="rId2" Type="http://schemas.openxmlformats.org/officeDocument/2006/relationships/hyperlink" Target="http://172.120.2.26:48000/" TargetMode="External"/><Relationship Id="rId1" Type="http://schemas.openxmlformats.org/officeDocument/2006/relationships/hyperlink" Target="https://172.120.209.151/" TargetMode="External"/><Relationship Id="rId6" Type="http://schemas.openxmlformats.org/officeDocument/2006/relationships/hyperlink" Target="http://172.120.2.14:30001/" TargetMode="External"/><Relationship Id="rId5" Type="http://schemas.openxmlformats.org/officeDocument/2006/relationships/hyperlink" Target="http://172.120.2.14:31118/" TargetMode="External"/><Relationship Id="rId4" Type="http://schemas.openxmlformats.org/officeDocument/2006/relationships/hyperlink" Target="http://172.120.2.14:30003/" TargetMode="External"/><Relationship Id="rId9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/harbor@123harbor/Harbor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E12" sqref="E12"/>
    </sheetView>
  </sheetViews>
  <sheetFormatPr defaultColWidth="9" defaultRowHeight="14.25" x14ac:dyDescent="0.2"/>
  <cols>
    <col min="1" max="1" width="46.875" style="2" customWidth="1"/>
    <col min="2" max="2" width="13.875" style="2" customWidth="1"/>
    <col min="3" max="4" width="17.625" style="2" customWidth="1"/>
    <col min="5" max="5" width="31" style="2" customWidth="1"/>
    <col min="6" max="6" width="37.5" style="2" customWidth="1"/>
    <col min="7" max="8" width="25" style="2" customWidth="1"/>
    <col min="9" max="16384" width="9" style="2"/>
  </cols>
  <sheetData>
    <row r="1" spans="1:8" s="1" customFormat="1" ht="27" customHeight="1" x14ac:dyDescent="0.25">
      <c r="A1" s="47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19" t="s">
        <v>7</v>
      </c>
    </row>
    <row r="2" spans="1:8" ht="20.25" customHeight="1" x14ac:dyDescent="0.2">
      <c r="A2" s="7" t="s">
        <v>8</v>
      </c>
      <c r="B2" s="7">
        <v>3</v>
      </c>
      <c r="C2" s="14" t="s">
        <v>9</v>
      </c>
      <c r="D2" s="14">
        <v>16</v>
      </c>
      <c r="E2" s="14">
        <v>32</v>
      </c>
      <c r="F2" s="14" t="s">
        <v>10</v>
      </c>
      <c r="G2" s="14"/>
      <c r="H2" s="14"/>
    </row>
    <row r="3" spans="1:8" ht="20.25" customHeight="1" x14ac:dyDescent="0.2">
      <c r="A3" s="7" t="s">
        <v>11</v>
      </c>
      <c r="B3" s="7">
        <v>2</v>
      </c>
      <c r="C3" s="14" t="s">
        <v>12</v>
      </c>
      <c r="D3" s="14">
        <v>8</v>
      </c>
      <c r="E3" s="14">
        <v>16</v>
      </c>
      <c r="F3" s="14" t="s">
        <v>10</v>
      </c>
      <c r="G3" s="14"/>
      <c r="H3" s="14"/>
    </row>
    <row r="4" spans="1:8" ht="20.25" customHeight="1" x14ac:dyDescent="0.2">
      <c r="A4" s="7" t="s">
        <v>13</v>
      </c>
      <c r="B4" s="7">
        <v>4</v>
      </c>
      <c r="C4" s="14" t="s">
        <v>12</v>
      </c>
      <c r="D4" s="14">
        <v>8</v>
      </c>
      <c r="E4" s="14">
        <v>16</v>
      </c>
      <c r="F4" s="14" t="s">
        <v>10</v>
      </c>
      <c r="G4" s="7"/>
      <c r="H4" s="14" t="s">
        <v>14</v>
      </c>
    </row>
    <row r="5" spans="1:8" ht="20.25" hidden="1" customHeight="1" x14ac:dyDescent="0.2">
      <c r="A5" s="7" t="s">
        <v>15</v>
      </c>
      <c r="B5" s="7">
        <v>0</v>
      </c>
      <c r="C5" s="14" t="s">
        <v>12</v>
      </c>
      <c r="D5" s="14">
        <v>8</v>
      </c>
      <c r="E5" s="14">
        <v>16</v>
      </c>
      <c r="F5" s="14" t="s">
        <v>16</v>
      </c>
      <c r="G5" s="14"/>
      <c r="H5" s="14"/>
    </row>
    <row r="6" spans="1:8" ht="20.25" customHeight="1" x14ac:dyDescent="0.2">
      <c r="A6" s="7" t="s">
        <v>17</v>
      </c>
      <c r="B6" s="7">
        <v>1</v>
      </c>
      <c r="C6" s="14" t="s">
        <v>12</v>
      </c>
      <c r="D6" s="14">
        <v>16</v>
      </c>
      <c r="E6" s="14">
        <v>64</v>
      </c>
      <c r="F6" s="14" t="s">
        <v>10</v>
      </c>
      <c r="G6" s="14"/>
      <c r="H6" s="14"/>
    </row>
    <row r="7" spans="1:8" ht="20.25" customHeight="1" x14ac:dyDescent="0.2">
      <c r="A7" s="7" t="s">
        <v>18</v>
      </c>
      <c r="B7" s="7">
        <v>1</v>
      </c>
      <c r="C7" s="14" t="s">
        <v>12</v>
      </c>
      <c r="D7" s="14">
        <v>4</v>
      </c>
      <c r="E7" s="14">
        <v>8</v>
      </c>
      <c r="F7" s="14" t="s">
        <v>10</v>
      </c>
      <c r="G7" s="14"/>
      <c r="H7" s="14"/>
    </row>
    <row r="8" spans="1:8" ht="20.25" customHeight="1" x14ac:dyDescent="0.2">
      <c r="A8" s="7" t="s">
        <v>19</v>
      </c>
      <c r="B8" s="7">
        <v>4</v>
      </c>
      <c r="C8" s="14" t="s">
        <v>12</v>
      </c>
      <c r="D8" s="14">
        <v>16</v>
      </c>
      <c r="E8" s="14">
        <v>32</v>
      </c>
      <c r="F8" s="14" t="s">
        <v>20</v>
      </c>
      <c r="G8" s="14"/>
      <c r="H8" s="14"/>
    </row>
    <row r="9" spans="1:8" x14ac:dyDescent="0.2">
      <c r="A9" s="7" t="s">
        <v>21</v>
      </c>
      <c r="B9" s="7">
        <v>1</v>
      </c>
      <c r="C9" s="14" t="s">
        <v>12</v>
      </c>
      <c r="D9" s="14">
        <v>16</v>
      </c>
      <c r="E9" s="14">
        <v>32</v>
      </c>
      <c r="F9" s="14" t="s">
        <v>20</v>
      </c>
      <c r="G9" s="39"/>
      <c r="H9" s="39"/>
    </row>
    <row r="10" spans="1:8" x14ac:dyDescent="0.2">
      <c r="A10" s="16" t="s">
        <v>22</v>
      </c>
      <c r="B10" s="7">
        <f>SUM(B2:B9)</f>
        <v>16</v>
      </c>
      <c r="C10" s="14"/>
      <c r="D10" s="14"/>
      <c r="E10" s="14"/>
      <c r="F10" s="14"/>
      <c r="G10" s="7"/>
      <c r="H10" s="7"/>
    </row>
    <row r="11" spans="1:8" x14ac:dyDescent="0.2">
      <c r="C11" s="17"/>
      <c r="F11" s="17"/>
    </row>
    <row r="13" spans="1:8" x14ac:dyDescent="0.2">
      <c r="B13" s="40"/>
    </row>
    <row r="14" spans="1:8" x14ac:dyDescent="0.2">
      <c r="A14" s="38"/>
      <c r="D14" s="2">
        <v>48</v>
      </c>
    </row>
    <row r="15" spans="1:8" x14ac:dyDescent="0.2">
      <c r="A15" s="38"/>
      <c r="D15" s="2">
        <v>16</v>
      </c>
      <c r="E15" s="2">
        <v>128</v>
      </c>
    </row>
    <row r="16" spans="1:8" x14ac:dyDescent="0.2">
      <c r="D16" s="2">
        <v>32</v>
      </c>
    </row>
    <row r="17" spans="1:4" x14ac:dyDescent="0.2">
      <c r="A17"/>
      <c r="B17" s="28"/>
      <c r="C17"/>
      <c r="D17" s="2">
        <v>16</v>
      </c>
    </row>
    <row r="18" spans="1:4" x14ac:dyDescent="0.2">
      <c r="A18"/>
      <c r="B18" s="28"/>
      <c r="C18"/>
      <c r="D18" s="2">
        <v>4</v>
      </c>
    </row>
    <row r="19" spans="1:4" x14ac:dyDescent="0.2">
      <c r="D19" s="2">
        <v>64</v>
      </c>
    </row>
  </sheetData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E12" sqref="E12"/>
    </sheetView>
  </sheetViews>
  <sheetFormatPr defaultColWidth="9" defaultRowHeight="14.25" x14ac:dyDescent="0.2"/>
  <cols>
    <col min="1" max="1" width="23.5" style="2" customWidth="1"/>
    <col min="2" max="2" width="11" style="2" customWidth="1"/>
    <col min="3" max="3" width="13.5" style="2" customWidth="1"/>
    <col min="4" max="4" width="10.5" style="2" customWidth="1"/>
    <col min="5" max="5" width="14" style="2" customWidth="1"/>
    <col min="6" max="6" width="24" style="2" customWidth="1"/>
    <col min="7" max="7" width="30.875" style="2" customWidth="1"/>
    <col min="8" max="8" width="25" style="2" customWidth="1"/>
    <col min="9" max="16384" width="9" style="2"/>
  </cols>
  <sheetData>
    <row r="1" spans="1:8" s="1" customFormat="1" ht="27" customHeight="1" x14ac:dyDescent="0.25">
      <c r="A1" s="47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8" t="s">
        <v>23</v>
      </c>
      <c r="G1" s="48" t="s">
        <v>24</v>
      </c>
      <c r="H1" s="19" t="s">
        <v>7</v>
      </c>
    </row>
    <row r="2" spans="1:8" ht="20.25" customHeight="1" x14ac:dyDescent="0.2">
      <c r="A2" s="49" t="s">
        <v>25</v>
      </c>
      <c r="B2" s="49">
        <v>1</v>
      </c>
      <c r="C2" s="14" t="s">
        <v>26</v>
      </c>
      <c r="D2" s="14">
        <v>64</v>
      </c>
      <c r="E2" s="14">
        <v>512</v>
      </c>
      <c r="F2" s="14"/>
      <c r="G2" s="7" t="s">
        <v>27</v>
      </c>
      <c r="H2" s="14"/>
    </row>
    <row r="3" spans="1:8" ht="20.25" customHeight="1" x14ac:dyDescent="0.2">
      <c r="A3" s="49" t="s">
        <v>28</v>
      </c>
      <c r="B3" s="49">
        <v>1</v>
      </c>
      <c r="C3" s="14" t="s">
        <v>26</v>
      </c>
      <c r="D3" s="14">
        <v>64</v>
      </c>
      <c r="E3" s="14">
        <v>512</v>
      </c>
      <c r="F3" s="14"/>
      <c r="G3" s="7" t="s">
        <v>29</v>
      </c>
      <c r="H3" s="14"/>
    </row>
    <row r="4" spans="1:8" ht="20.25" customHeight="1" x14ac:dyDescent="0.2">
      <c r="A4" s="49" t="s">
        <v>30</v>
      </c>
      <c r="B4" s="49">
        <v>1</v>
      </c>
      <c r="C4" s="14" t="s">
        <v>26</v>
      </c>
      <c r="D4" s="14">
        <v>64</v>
      </c>
      <c r="E4" s="14">
        <v>512</v>
      </c>
      <c r="F4" s="14"/>
      <c r="G4" s="7" t="s">
        <v>31</v>
      </c>
      <c r="H4" s="14"/>
    </row>
    <row r="5" spans="1:8" ht="20.25" hidden="1" customHeight="1" x14ac:dyDescent="0.2">
      <c r="A5" s="49" t="s">
        <v>15</v>
      </c>
      <c r="B5" s="49">
        <v>0</v>
      </c>
      <c r="C5" s="14" t="s">
        <v>12</v>
      </c>
      <c r="D5" s="14">
        <v>8</v>
      </c>
      <c r="E5" s="14">
        <v>16</v>
      </c>
      <c r="F5" s="14"/>
      <c r="G5" s="7" t="s">
        <v>15</v>
      </c>
      <c r="H5" s="14"/>
    </row>
    <row r="6" spans="1:8" ht="20.25" customHeight="1" x14ac:dyDescent="0.2">
      <c r="A6" s="49" t="s">
        <v>32</v>
      </c>
      <c r="B6" s="49">
        <v>1</v>
      </c>
      <c r="C6" s="14" t="s">
        <v>26</v>
      </c>
      <c r="D6" s="14">
        <v>64</v>
      </c>
      <c r="E6" s="14">
        <v>512</v>
      </c>
      <c r="F6" s="14"/>
      <c r="G6" s="7" t="s">
        <v>33</v>
      </c>
      <c r="H6" s="14"/>
    </row>
    <row r="7" spans="1:8" ht="20.25" customHeight="1" x14ac:dyDescent="0.2">
      <c r="A7" s="49" t="s">
        <v>34</v>
      </c>
      <c r="B7" s="49">
        <v>1</v>
      </c>
      <c r="C7" s="14"/>
      <c r="D7" s="14"/>
      <c r="E7" s="14"/>
      <c r="F7" s="14" t="s">
        <v>35</v>
      </c>
      <c r="G7" s="14"/>
      <c r="H7" s="14"/>
    </row>
    <row r="8" spans="1:8" ht="20.25" customHeight="1" x14ac:dyDescent="0.2">
      <c r="A8" s="49"/>
      <c r="B8" s="7"/>
      <c r="C8" s="14"/>
      <c r="D8" s="14"/>
      <c r="E8" s="14"/>
      <c r="F8" s="14"/>
      <c r="G8" s="14"/>
      <c r="H8" s="14"/>
    </row>
    <row r="9" spans="1:8" x14ac:dyDescent="0.2">
      <c r="A9" s="49"/>
      <c r="B9" s="7"/>
      <c r="C9" s="14"/>
      <c r="D9" s="14"/>
      <c r="E9" s="14"/>
      <c r="F9" s="14"/>
      <c r="G9" s="39"/>
      <c r="H9" s="39"/>
    </row>
    <row r="10" spans="1:8" x14ac:dyDescent="0.2">
      <c r="A10" s="16" t="s">
        <v>22</v>
      </c>
      <c r="B10" s="7"/>
      <c r="C10" s="14"/>
      <c r="D10" s="14"/>
      <c r="E10" s="14"/>
      <c r="F10" s="14"/>
      <c r="G10" s="7"/>
      <c r="H10" s="7"/>
    </row>
    <row r="11" spans="1:8" x14ac:dyDescent="0.2">
      <c r="C11" s="17"/>
      <c r="F11" s="17"/>
    </row>
    <row r="13" spans="1:8" x14ac:dyDescent="0.2">
      <c r="A13" s="2" t="s">
        <v>36</v>
      </c>
      <c r="B13" s="50" t="s">
        <v>37</v>
      </c>
    </row>
    <row r="14" spans="1:8" x14ac:dyDescent="0.2">
      <c r="A14" s="38"/>
    </row>
    <row r="15" spans="1:8" x14ac:dyDescent="0.2">
      <c r="A15" s="38"/>
    </row>
    <row r="17" spans="1:3" x14ac:dyDescent="0.2">
      <c r="A17" t="s">
        <v>38</v>
      </c>
      <c r="B17" s="28"/>
      <c r="C17"/>
    </row>
    <row r="18" spans="1:3" x14ac:dyDescent="0.2">
      <c r="A18" t="s">
        <v>39</v>
      </c>
      <c r="B18" s="28"/>
      <c r="C18"/>
    </row>
    <row r="19" spans="1:3" x14ac:dyDescent="0.2">
      <c r="A19" s="2" t="s">
        <v>40</v>
      </c>
    </row>
    <row r="20" spans="1:3" x14ac:dyDescent="0.2">
      <c r="A20" s="2" t="s">
        <v>41</v>
      </c>
    </row>
  </sheetData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E12" sqref="E12"/>
    </sheetView>
  </sheetViews>
  <sheetFormatPr defaultColWidth="9" defaultRowHeight="14.25" x14ac:dyDescent="0.2"/>
  <cols>
    <col min="1" max="1" width="37.125" style="41" customWidth="1"/>
    <col min="2" max="3" width="9" style="2"/>
    <col min="4" max="4" width="20.375" style="2" customWidth="1"/>
    <col min="5" max="5" width="17.125" style="2" customWidth="1"/>
    <col min="6" max="6" width="40" style="2" customWidth="1"/>
    <col min="7" max="7" width="9" style="2"/>
    <col min="8" max="8" width="15.375" style="2" customWidth="1"/>
    <col min="9" max="16384" width="9" style="2"/>
  </cols>
  <sheetData>
    <row r="1" spans="1:6" ht="18" x14ac:dyDescent="0.2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</row>
    <row r="2" spans="1:6" ht="20.25" customHeight="1" x14ac:dyDescent="0.2">
      <c r="A2" s="68" t="s">
        <v>48</v>
      </c>
      <c r="B2" s="70" t="s">
        <v>49</v>
      </c>
      <c r="C2" s="42"/>
      <c r="D2" s="7" t="s">
        <v>50</v>
      </c>
      <c r="E2" s="4" t="s">
        <v>51</v>
      </c>
      <c r="F2" s="7"/>
    </row>
    <row r="3" spans="1:6" ht="20.25" customHeight="1" x14ac:dyDescent="0.2">
      <c r="A3" s="69"/>
      <c r="B3" s="70"/>
      <c r="C3" s="42" t="s">
        <v>52</v>
      </c>
      <c r="D3" s="7" t="s">
        <v>53</v>
      </c>
      <c r="E3" s="4">
        <v>58203</v>
      </c>
      <c r="F3" s="7"/>
    </row>
    <row r="4" spans="1:6" ht="20.25" customHeight="1" x14ac:dyDescent="0.2">
      <c r="A4" s="69"/>
      <c r="B4" s="70"/>
      <c r="C4" s="42"/>
      <c r="D4" s="7" t="s">
        <v>54</v>
      </c>
      <c r="E4" s="4" t="s">
        <v>55</v>
      </c>
      <c r="F4" s="7"/>
    </row>
    <row r="5" spans="1:6" ht="20.25" customHeight="1" x14ac:dyDescent="0.2">
      <c r="A5" s="68" t="s">
        <v>56</v>
      </c>
      <c r="B5" s="70" t="s">
        <v>49</v>
      </c>
      <c r="C5" s="42"/>
      <c r="D5" s="7" t="s">
        <v>50</v>
      </c>
      <c r="E5" s="4" t="s">
        <v>51</v>
      </c>
      <c r="F5" s="7"/>
    </row>
    <row r="6" spans="1:6" ht="20.25" customHeight="1" x14ac:dyDescent="0.2">
      <c r="A6" s="69"/>
      <c r="B6" s="70"/>
      <c r="C6" s="42" t="s">
        <v>52</v>
      </c>
      <c r="D6" s="7" t="s">
        <v>53</v>
      </c>
      <c r="E6" s="4">
        <v>58204</v>
      </c>
      <c r="F6" s="7"/>
    </row>
    <row r="7" spans="1:6" ht="20.25" customHeight="1" x14ac:dyDescent="0.2">
      <c r="A7" s="69"/>
      <c r="B7" s="70"/>
      <c r="C7" s="42"/>
      <c r="D7" s="7" t="s">
        <v>54</v>
      </c>
      <c r="E7" s="4" t="s">
        <v>55</v>
      </c>
      <c r="F7" s="7"/>
    </row>
    <row r="8" spans="1:6" ht="20.25" customHeight="1" x14ac:dyDescent="0.2">
      <c r="A8" s="68" t="s">
        <v>57</v>
      </c>
      <c r="B8" s="70" t="s">
        <v>49</v>
      </c>
      <c r="C8" s="42" t="s">
        <v>58</v>
      </c>
      <c r="D8" s="7" t="s">
        <v>59</v>
      </c>
      <c r="E8" s="4">
        <v>58101</v>
      </c>
      <c r="F8" s="7"/>
    </row>
    <row r="9" spans="1:6" ht="20.25" customHeight="1" x14ac:dyDescent="0.2">
      <c r="A9" s="69"/>
      <c r="B9" s="70"/>
      <c r="C9" s="42" t="s">
        <v>58</v>
      </c>
      <c r="D9" s="7" t="s">
        <v>60</v>
      </c>
      <c r="E9" s="4">
        <v>58301</v>
      </c>
      <c r="F9" s="7"/>
    </row>
    <row r="10" spans="1:6" ht="20.25" customHeight="1" x14ac:dyDescent="0.2">
      <c r="A10" s="69"/>
      <c r="B10" s="70"/>
      <c r="C10" s="42" t="s">
        <v>61</v>
      </c>
      <c r="D10" s="7" t="s">
        <v>53</v>
      </c>
      <c r="E10" s="4">
        <v>58201</v>
      </c>
      <c r="F10" s="7"/>
    </row>
    <row r="11" spans="1:6" ht="20.25" customHeight="1" x14ac:dyDescent="0.2">
      <c r="A11" s="69"/>
      <c r="B11" s="70"/>
      <c r="C11" s="42" t="s">
        <v>62</v>
      </c>
      <c r="D11" s="7" t="s">
        <v>63</v>
      </c>
      <c r="E11" s="4">
        <v>55501</v>
      </c>
      <c r="F11" s="7"/>
    </row>
    <row r="12" spans="1:6" ht="20.25" customHeight="1" x14ac:dyDescent="0.2">
      <c r="A12" s="69"/>
      <c r="B12" s="70"/>
      <c r="C12" s="42" t="s">
        <v>62</v>
      </c>
      <c r="D12" s="7" t="s">
        <v>64</v>
      </c>
      <c r="E12" s="4">
        <v>55603</v>
      </c>
      <c r="F12" s="7"/>
    </row>
    <row r="13" spans="1:6" ht="20.25" customHeight="1" x14ac:dyDescent="0.2">
      <c r="A13" s="69"/>
      <c r="B13" s="70"/>
      <c r="C13" s="42" t="s">
        <v>58</v>
      </c>
      <c r="D13" s="7" t="s">
        <v>65</v>
      </c>
      <c r="E13" s="4">
        <v>56501</v>
      </c>
      <c r="F13" s="7"/>
    </row>
    <row r="14" spans="1:6" ht="20.25" customHeight="1" x14ac:dyDescent="0.2">
      <c r="A14" s="69"/>
      <c r="B14" s="70"/>
      <c r="C14" s="42" t="s">
        <v>58</v>
      </c>
      <c r="D14" s="7" t="s">
        <v>66</v>
      </c>
      <c r="E14" s="4">
        <v>58611</v>
      </c>
      <c r="F14" s="7"/>
    </row>
    <row r="15" spans="1:6" ht="20.25" customHeight="1" x14ac:dyDescent="0.2">
      <c r="A15" s="69"/>
      <c r="B15" s="70"/>
      <c r="C15" s="42" t="s">
        <v>58</v>
      </c>
      <c r="D15" s="7" t="s">
        <v>67</v>
      </c>
      <c r="E15" s="4">
        <v>58701</v>
      </c>
      <c r="F15" s="7"/>
    </row>
    <row r="16" spans="1:6" ht="20.25" customHeight="1" x14ac:dyDescent="0.2">
      <c r="A16" s="68" t="s">
        <v>68</v>
      </c>
      <c r="B16" s="70" t="s">
        <v>49</v>
      </c>
      <c r="C16" s="42" t="s">
        <v>58</v>
      </c>
      <c r="D16" s="7" t="s">
        <v>59</v>
      </c>
      <c r="E16" s="4">
        <v>58102</v>
      </c>
      <c r="F16" s="7"/>
    </row>
    <row r="17" spans="1:6" ht="20.25" customHeight="1" x14ac:dyDescent="0.2">
      <c r="A17" s="69"/>
      <c r="B17" s="70"/>
      <c r="C17" s="42" t="s">
        <v>58</v>
      </c>
      <c r="D17" s="7" t="s">
        <v>60</v>
      </c>
      <c r="E17" s="4">
        <v>58302</v>
      </c>
      <c r="F17" s="7"/>
    </row>
    <row r="18" spans="1:6" ht="20.25" customHeight="1" x14ac:dyDescent="0.2">
      <c r="A18" s="69"/>
      <c r="B18" s="70"/>
      <c r="C18" s="42" t="s">
        <v>61</v>
      </c>
      <c r="D18" s="7" t="s">
        <v>53</v>
      </c>
      <c r="E18" s="4">
        <v>58202</v>
      </c>
      <c r="F18" s="7"/>
    </row>
    <row r="19" spans="1:6" ht="20.25" customHeight="1" x14ac:dyDescent="0.2">
      <c r="A19" s="69"/>
      <c r="B19" s="70"/>
      <c r="C19" s="42" t="s">
        <v>62</v>
      </c>
      <c r="D19" s="7" t="s">
        <v>69</v>
      </c>
      <c r="E19" s="4">
        <v>56203</v>
      </c>
      <c r="F19" s="7"/>
    </row>
    <row r="20" spans="1:6" ht="20.25" customHeight="1" x14ac:dyDescent="0.2">
      <c r="A20" s="69"/>
      <c r="B20" s="70"/>
      <c r="C20" s="42" t="s">
        <v>62</v>
      </c>
      <c r="D20" s="7" t="s">
        <v>64</v>
      </c>
      <c r="E20" s="4">
        <v>55601</v>
      </c>
      <c r="F20" s="7"/>
    </row>
    <row r="21" spans="1:6" ht="20.25" customHeight="1" x14ac:dyDescent="0.2">
      <c r="A21" s="69"/>
      <c r="B21" s="70"/>
      <c r="C21" s="42" t="s">
        <v>58</v>
      </c>
      <c r="D21" s="7" t="s">
        <v>65</v>
      </c>
      <c r="E21" s="4">
        <v>56502</v>
      </c>
      <c r="F21" s="7"/>
    </row>
    <row r="22" spans="1:6" ht="20.25" customHeight="1" x14ac:dyDescent="0.2">
      <c r="A22" s="69"/>
      <c r="B22" s="70"/>
      <c r="C22" s="42" t="s">
        <v>58</v>
      </c>
      <c r="D22" s="7" t="s">
        <v>66</v>
      </c>
      <c r="E22" s="4">
        <v>58612</v>
      </c>
      <c r="F22" s="7"/>
    </row>
    <row r="23" spans="1:6" ht="20.25" customHeight="1" x14ac:dyDescent="0.2">
      <c r="A23" s="69"/>
      <c r="B23" s="70"/>
      <c r="C23" s="42" t="s">
        <v>58</v>
      </c>
      <c r="D23" s="7" t="s">
        <v>67</v>
      </c>
      <c r="E23" s="4">
        <v>58702</v>
      </c>
      <c r="F23" s="7"/>
    </row>
    <row r="24" spans="1:6" ht="20.25" customHeight="1" x14ac:dyDescent="0.2">
      <c r="A24" s="68" t="s">
        <v>70</v>
      </c>
      <c r="B24" s="70" t="s">
        <v>49</v>
      </c>
      <c r="C24" s="42" t="s">
        <v>62</v>
      </c>
      <c r="D24" s="7" t="s">
        <v>63</v>
      </c>
      <c r="E24" s="4">
        <v>55502</v>
      </c>
      <c r="F24" s="7"/>
    </row>
    <row r="25" spans="1:6" ht="20.25" customHeight="1" x14ac:dyDescent="0.2">
      <c r="A25" s="69"/>
      <c r="B25" s="70"/>
      <c r="C25" s="42" t="s">
        <v>62</v>
      </c>
      <c r="D25" s="7" t="s">
        <v>69</v>
      </c>
      <c r="E25" s="4">
        <v>56201</v>
      </c>
      <c r="F25" s="7"/>
    </row>
    <row r="26" spans="1:6" ht="20.25" customHeight="1" x14ac:dyDescent="0.2">
      <c r="A26" s="69"/>
      <c r="B26" s="70"/>
      <c r="C26" s="42" t="s">
        <v>62</v>
      </c>
      <c r="D26" s="7" t="s">
        <v>71</v>
      </c>
      <c r="E26" s="4">
        <v>55203</v>
      </c>
      <c r="F26" s="7"/>
    </row>
    <row r="27" spans="1:6" ht="21" customHeight="1" x14ac:dyDescent="0.2">
      <c r="A27" s="69"/>
      <c r="B27" s="70"/>
      <c r="C27" s="42" t="s">
        <v>62</v>
      </c>
      <c r="D27" s="7" t="s">
        <v>72</v>
      </c>
      <c r="E27" s="4">
        <v>55301</v>
      </c>
      <c r="F27" s="7"/>
    </row>
    <row r="28" spans="1:6" ht="20.25" customHeight="1" x14ac:dyDescent="0.2">
      <c r="A28" s="69"/>
      <c r="B28" s="70"/>
      <c r="C28" s="42" t="s">
        <v>58</v>
      </c>
      <c r="D28" s="7" t="s">
        <v>73</v>
      </c>
      <c r="E28" s="4">
        <v>58603</v>
      </c>
      <c r="F28" s="7"/>
    </row>
    <row r="29" spans="1:6" ht="20.25" customHeight="1" x14ac:dyDescent="0.2">
      <c r="A29" s="69"/>
      <c r="B29" s="70"/>
      <c r="C29" s="42" t="s">
        <v>62</v>
      </c>
      <c r="D29" s="7" t="s">
        <v>74</v>
      </c>
      <c r="E29" s="4">
        <v>55401</v>
      </c>
      <c r="F29" s="7"/>
    </row>
    <row r="30" spans="1:6" ht="20.25" customHeight="1" x14ac:dyDescent="0.2">
      <c r="A30" s="69"/>
      <c r="B30" s="70"/>
      <c r="C30" s="42" t="s">
        <v>62</v>
      </c>
      <c r="D30" s="7" t="s">
        <v>75</v>
      </c>
      <c r="E30" s="4">
        <v>55803</v>
      </c>
      <c r="F30" s="7"/>
    </row>
    <row r="31" spans="1:6" ht="20.25" customHeight="1" x14ac:dyDescent="0.2">
      <c r="A31" s="68" t="s">
        <v>76</v>
      </c>
      <c r="B31" s="70" t="s">
        <v>49</v>
      </c>
      <c r="C31" s="42" t="s">
        <v>62</v>
      </c>
      <c r="D31" s="7" t="s">
        <v>63</v>
      </c>
      <c r="E31" s="4">
        <v>55503</v>
      </c>
      <c r="F31" s="7"/>
    </row>
    <row r="32" spans="1:6" ht="20.25" customHeight="1" x14ac:dyDescent="0.2">
      <c r="A32" s="69"/>
      <c r="B32" s="70"/>
      <c r="C32" s="42" t="s">
        <v>62</v>
      </c>
      <c r="D32" s="7" t="s">
        <v>69</v>
      </c>
      <c r="E32" s="4">
        <v>56202</v>
      </c>
      <c r="F32" s="7"/>
    </row>
    <row r="33" spans="1:6" ht="20.25" customHeight="1" x14ac:dyDescent="0.2">
      <c r="A33" s="69"/>
      <c r="B33" s="70"/>
      <c r="C33" s="42" t="s">
        <v>62</v>
      </c>
      <c r="D33" s="7" t="s">
        <v>71</v>
      </c>
      <c r="E33" s="4">
        <v>55201</v>
      </c>
      <c r="F33" s="7"/>
    </row>
    <row r="34" spans="1:6" ht="20.25" customHeight="1" x14ac:dyDescent="0.2">
      <c r="A34" s="69"/>
      <c r="B34" s="70"/>
      <c r="C34" s="42" t="s">
        <v>62</v>
      </c>
      <c r="D34" s="7" t="s">
        <v>72</v>
      </c>
      <c r="E34" s="4">
        <v>55302</v>
      </c>
      <c r="F34" s="7"/>
    </row>
    <row r="35" spans="1:6" ht="20.25" customHeight="1" x14ac:dyDescent="0.2">
      <c r="A35" s="69"/>
      <c r="B35" s="70"/>
      <c r="C35" s="42" t="s">
        <v>58</v>
      </c>
      <c r="D35" s="7" t="s">
        <v>73</v>
      </c>
      <c r="E35" s="4">
        <v>58602</v>
      </c>
      <c r="F35" s="7"/>
    </row>
    <row r="36" spans="1:6" ht="20.25" customHeight="1" x14ac:dyDescent="0.2">
      <c r="A36" s="69"/>
      <c r="B36" s="70"/>
      <c r="C36" s="42" t="s">
        <v>62</v>
      </c>
      <c r="D36" s="7" t="s">
        <v>74</v>
      </c>
      <c r="E36" s="4">
        <v>55402</v>
      </c>
      <c r="F36" s="7"/>
    </row>
    <row r="37" spans="1:6" ht="20.25" customHeight="1" x14ac:dyDescent="0.2">
      <c r="A37" s="69"/>
      <c r="B37" s="70"/>
      <c r="C37" s="42" t="s">
        <v>62</v>
      </c>
      <c r="D37" s="7" t="s">
        <v>75</v>
      </c>
      <c r="E37" s="4">
        <v>55801</v>
      </c>
      <c r="F37" s="43"/>
    </row>
    <row r="38" spans="1:6" ht="20.25" customHeight="1" x14ac:dyDescent="0.2">
      <c r="A38" s="68" t="s">
        <v>77</v>
      </c>
      <c r="B38" s="70" t="s">
        <v>49</v>
      </c>
      <c r="C38" s="42" t="s">
        <v>78</v>
      </c>
      <c r="D38" s="7" t="s">
        <v>79</v>
      </c>
      <c r="E38" s="4">
        <v>57301</v>
      </c>
      <c r="F38" s="43"/>
    </row>
    <row r="39" spans="1:6" ht="20.25" customHeight="1" x14ac:dyDescent="0.2">
      <c r="A39" s="69"/>
      <c r="B39" s="70"/>
      <c r="C39" s="42" t="s">
        <v>78</v>
      </c>
      <c r="D39" s="7" t="s">
        <v>80</v>
      </c>
      <c r="E39" s="4">
        <v>58901</v>
      </c>
      <c r="F39" s="43"/>
    </row>
    <row r="40" spans="1:6" ht="20.25" customHeight="1" x14ac:dyDescent="0.2">
      <c r="A40" s="69"/>
      <c r="B40" s="70"/>
      <c r="C40" s="42" t="s">
        <v>58</v>
      </c>
      <c r="D40" s="7" t="s">
        <v>81</v>
      </c>
      <c r="E40" s="4">
        <v>57201</v>
      </c>
      <c r="F40" s="43"/>
    </row>
    <row r="41" spans="1:6" ht="20.25" customHeight="1" x14ac:dyDescent="0.2">
      <c r="A41" s="69"/>
      <c r="B41" s="70"/>
      <c r="C41" s="42" t="s">
        <v>61</v>
      </c>
      <c r="D41" s="7" t="s">
        <v>82</v>
      </c>
      <c r="E41" s="4">
        <v>55101</v>
      </c>
      <c r="F41" s="43"/>
    </row>
    <row r="42" spans="1:6" ht="20.25" customHeight="1" x14ac:dyDescent="0.2">
      <c r="A42" s="69"/>
      <c r="B42" s="70"/>
      <c r="C42" s="42" t="s">
        <v>58</v>
      </c>
      <c r="D42" s="7" t="s">
        <v>83</v>
      </c>
      <c r="E42" s="4">
        <v>56302</v>
      </c>
      <c r="F42" s="43"/>
    </row>
    <row r="43" spans="1:6" ht="20.25" customHeight="1" x14ac:dyDescent="0.2">
      <c r="A43" s="69"/>
      <c r="B43" s="70"/>
      <c r="C43" s="42" t="s">
        <v>58</v>
      </c>
      <c r="D43" s="7" t="s">
        <v>84</v>
      </c>
      <c r="E43" s="4">
        <v>56601</v>
      </c>
      <c r="F43" s="43"/>
    </row>
    <row r="44" spans="1:6" ht="20.25" customHeight="1" x14ac:dyDescent="0.2">
      <c r="A44" s="69"/>
      <c r="B44" s="70"/>
      <c r="C44" s="42"/>
      <c r="D44" s="7" t="s">
        <v>54</v>
      </c>
      <c r="E44" s="4" t="s">
        <v>85</v>
      </c>
      <c r="F44" s="43"/>
    </row>
    <row r="45" spans="1:6" ht="20.25" customHeight="1" x14ac:dyDescent="0.2">
      <c r="A45" s="68" t="s">
        <v>86</v>
      </c>
      <c r="B45" s="70" t="s">
        <v>49</v>
      </c>
      <c r="C45" s="42" t="s">
        <v>62</v>
      </c>
      <c r="D45" s="7" t="s">
        <v>71</v>
      </c>
      <c r="E45" s="4">
        <v>55202</v>
      </c>
      <c r="F45" s="43"/>
    </row>
    <row r="46" spans="1:6" ht="20.25" customHeight="1" x14ac:dyDescent="0.2">
      <c r="A46" s="69"/>
      <c r="B46" s="70"/>
      <c r="C46" s="42" t="s">
        <v>62</v>
      </c>
      <c r="D46" s="7" t="s">
        <v>87</v>
      </c>
      <c r="E46" s="4">
        <v>57101</v>
      </c>
      <c r="F46" s="7"/>
    </row>
    <row r="47" spans="1:6" ht="20.25" customHeight="1" x14ac:dyDescent="0.2">
      <c r="A47" s="69"/>
      <c r="B47" s="70"/>
      <c r="C47" s="42" t="s">
        <v>61</v>
      </c>
      <c r="D47" s="7" t="s">
        <v>82</v>
      </c>
      <c r="E47" s="4">
        <v>55102</v>
      </c>
      <c r="F47" s="7"/>
    </row>
    <row r="48" spans="1:6" ht="20.25" customHeight="1" x14ac:dyDescent="0.2">
      <c r="A48" s="69"/>
      <c r="B48" s="70"/>
      <c r="C48" s="42" t="s">
        <v>58</v>
      </c>
      <c r="D48" s="7" t="s">
        <v>83</v>
      </c>
      <c r="E48" s="4">
        <v>56303</v>
      </c>
      <c r="F48" s="7"/>
    </row>
    <row r="49" spans="1:6" ht="20.25" customHeight="1" x14ac:dyDescent="0.2">
      <c r="A49" s="69"/>
      <c r="B49" s="70"/>
      <c r="C49" s="42" t="s">
        <v>58</v>
      </c>
      <c r="D49" s="7" t="s">
        <v>84</v>
      </c>
      <c r="E49" s="4">
        <v>56602</v>
      </c>
      <c r="F49" s="7"/>
    </row>
    <row r="50" spans="1:6" ht="20.25" customHeight="1" x14ac:dyDescent="0.2">
      <c r="A50" s="69"/>
      <c r="B50" s="70"/>
      <c r="C50" s="42"/>
      <c r="D50" s="7" t="s">
        <v>54</v>
      </c>
      <c r="E50" s="4" t="s">
        <v>85</v>
      </c>
      <c r="F50" s="7"/>
    </row>
    <row r="51" spans="1:6" ht="20.25" customHeight="1" x14ac:dyDescent="0.2">
      <c r="A51" s="69"/>
      <c r="B51" s="70"/>
      <c r="C51" s="42" t="s">
        <v>62</v>
      </c>
      <c r="D51" s="44" t="s">
        <v>64</v>
      </c>
      <c r="E51" s="4">
        <v>55602</v>
      </c>
      <c r="F51" s="7"/>
    </row>
    <row r="52" spans="1:6" ht="20.25" customHeight="1" x14ac:dyDescent="0.2">
      <c r="A52" s="69"/>
      <c r="B52" s="70"/>
      <c r="C52" s="45" t="s">
        <v>62</v>
      </c>
      <c r="D52" s="7" t="s">
        <v>75</v>
      </c>
      <c r="E52" s="4">
        <v>55802</v>
      </c>
      <c r="F52" s="7"/>
    </row>
    <row r="53" spans="1:6" ht="20.25" customHeight="1" x14ac:dyDescent="0.2">
      <c r="A53" s="68" t="s">
        <v>88</v>
      </c>
      <c r="B53" s="70" t="s">
        <v>49</v>
      </c>
      <c r="C53" s="42" t="s">
        <v>58</v>
      </c>
      <c r="D53" s="13" t="s">
        <v>89</v>
      </c>
      <c r="E53" s="4">
        <v>58401</v>
      </c>
      <c r="F53" s="7"/>
    </row>
    <row r="54" spans="1:6" ht="20.25" customHeight="1" x14ac:dyDescent="0.2">
      <c r="A54" s="68"/>
      <c r="B54" s="70"/>
      <c r="C54" s="42" t="s">
        <v>58</v>
      </c>
      <c r="D54" s="7" t="s">
        <v>90</v>
      </c>
      <c r="E54" s="4">
        <v>58501</v>
      </c>
      <c r="F54" s="7"/>
    </row>
    <row r="55" spans="1:6" ht="20.25" customHeight="1" x14ac:dyDescent="0.2">
      <c r="A55" s="68"/>
      <c r="B55" s="70"/>
      <c r="C55" s="42" t="s">
        <v>61</v>
      </c>
      <c r="D55" s="7" t="s">
        <v>91</v>
      </c>
      <c r="E55" s="4">
        <v>9411</v>
      </c>
      <c r="F55" s="43"/>
    </row>
    <row r="56" spans="1:6" ht="20.25" customHeight="1" x14ac:dyDescent="0.2">
      <c r="A56" s="68"/>
      <c r="B56" s="70"/>
      <c r="C56" s="42"/>
      <c r="D56" s="7" t="s">
        <v>92</v>
      </c>
      <c r="E56" s="4"/>
      <c r="F56" s="43"/>
    </row>
    <row r="57" spans="1:6" ht="20.25" customHeight="1" x14ac:dyDescent="0.2">
      <c r="A57" s="68"/>
      <c r="B57" s="70"/>
      <c r="C57" s="42"/>
      <c r="D57" s="7" t="s">
        <v>93</v>
      </c>
      <c r="E57" s="4" t="s">
        <v>94</v>
      </c>
      <c r="F57" s="7"/>
    </row>
    <row r="58" spans="1:6" ht="20.25" customHeight="1" x14ac:dyDescent="0.2">
      <c r="A58" s="68"/>
      <c r="B58" s="70"/>
      <c r="C58" s="44" t="s">
        <v>58</v>
      </c>
      <c r="D58" s="44" t="s">
        <v>95</v>
      </c>
      <c r="E58" s="46">
        <v>58601</v>
      </c>
      <c r="F58" s="44"/>
    </row>
    <row r="59" spans="1:6" ht="20.25" customHeight="1" x14ac:dyDescent="0.2">
      <c r="A59" s="68"/>
      <c r="B59" s="71"/>
      <c r="C59" s="7"/>
      <c r="D59" s="7"/>
      <c r="E59" s="7"/>
      <c r="F59" s="7"/>
    </row>
    <row r="60" spans="1:6" ht="20.25" customHeight="1" x14ac:dyDescent="0.2">
      <c r="A60" s="2"/>
    </row>
    <row r="61" spans="1:6" ht="85.5" x14ac:dyDescent="0.2">
      <c r="A61" s="9" t="s">
        <v>96</v>
      </c>
    </row>
    <row r="62" spans="1:6" ht="20.25" customHeight="1" x14ac:dyDescent="0.2">
      <c r="A62" s="2" t="s">
        <v>97</v>
      </c>
      <c r="B62" s="2" t="s">
        <v>98</v>
      </c>
      <c r="C62" s="2" t="s">
        <v>99</v>
      </c>
    </row>
    <row r="63" spans="1:6" ht="20.25" customHeight="1" x14ac:dyDescent="0.2">
      <c r="A63" s="2" t="s">
        <v>100</v>
      </c>
      <c r="B63" s="2" t="s">
        <v>101</v>
      </c>
      <c r="C63" s="2" t="s">
        <v>102</v>
      </c>
      <c r="D63" s="2" t="s">
        <v>102</v>
      </c>
    </row>
    <row r="64" spans="1:6" ht="20.25" customHeight="1" x14ac:dyDescent="0.2">
      <c r="A64" s="2"/>
    </row>
    <row r="65" spans="1:2" ht="20.25" customHeight="1" x14ac:dyDescent="0.2">
      <c r="A65" s="2"/>
    </row>
    <row r="66" spans="1:2" x14ac:dyDescent="0.2">
      <c r="A66" s="41">
        <v>60</v>
      </c>
      <c r="B66" s="2">
        <v>4</v>
      </c>
    </row>
  </sheetData>
  <mergeCells count="18">
    <mergeCell ref="B24:B30"/>
    <mergeCell ref="A24:A30"/>
    <mergeCell ref="A31:A37"/>
    <mergeCell ref="A38:A44"/>
    <mergeCell ref="A2:A4"/>
    <mergeCell ref="A5:A7"/>
    <mergeCell ref="A8:A15"/>
    <mergeCell ref="A16:A23"/>
    <mergeCell ref="B2:B4"/>
    <mergeCell ref="B5:B7"/>
    <mergeCell ref="B8:B15"/>
    <mergeCell ref="B16:B23"/>
    <mergeCell ref="A45:A52"/>
    <mergeCell ref="A53:A59"/>
    <mergeCell ref="B31:B37"/>
    <mergeCell ref="B38:B44"/>
    <mergeCell ref="B45:B52"/>
    <mergeCell ref="B53:B59"/>
  </mergeCells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E12" sqref="E12"/>
    </sheetView>
  </sheetViews>
  <sheetFormatPr defaultColWidth="9" defaultRowHeight="14.25" x14ac:dyDescent="0.2"/>
  <cols>
    <col min="1" max="1" width="18.375" style="2" customWidth="1"/>
    <col min="2" max="2" width="13.875" style="2" customWidth="1"/>
    <col min="3" max="3" width="24" style="2" customWidth="1"/>
    <col min="4" max="5" width="17.625" style="2" customWidth="1"/>
    <col min="6" max="6" width="31" style="2" customWidth="1"/>
    <col min="7" max="9" width="25" style="2" customWidth="1"/>
    <col min="10" max="16384" width="9" style="2"/>
  </cols>
  <sheetData>
    <row r="1" spans="1:9" s="1" customFormat="1" ht="27" customHeight="1" x14ac:dyDescent="0.25">
      <c r="A1" s="3" t="s">
        <v>0</v>
      </c>
      <c r="B1" s="3" t="s">
        <v>103</v>
      </c>
      <c r="C1" s="3" t="s">
        <v>104</v>
      </c>
      <c r="D1" s="3" t="s">
        <v>2</v>
      </c>
      <c r="E1" s="12" t="s">
        <v>3</v>
      </c>
      <c r="F1" s="12" t="s">
        <v>105</v>
      </c>
      <c r="G1" s="12" t="s">
        <v>106</v>
      </c>
      <c r="H1" s="12" t="s">
        <v>107</v>
      </c>
      <c r="I1" s="19"/>
    </row>
    <row r="2" spans="1:9" ht="20.25" customHeight="1" x14ac:dyDescent="0.2">
      <c r="A2" s="7" t="s">
        <v>108</v>
      </c>
      <c r="B2" s="7" t="s">
        <v>48</v>
      </c>
      <c r="C2" s="31" t="s">
        <v>109</v>
      </c>
      <c r="D2" s="14" t="s">
        <v>110</v>
      </c>
      <c r="E2" s="14">
        <v>16</v>
      </c>
      <c r="F2" s="14" t="s">
        <v>111</v>
      </c>
      <c r="G2" s="14" t="s">
        <v>112</v>
      </c>
      <c r="H2" s="14"/>
      <c r="I2" s="17"/>
    </row>
    <row r="3" spans="1:9" ht="20.25" customHeight="1" x14ac:dyDescent="0.2">
      <c r="A3" s="7" t="s">
        <v>113</v>
      </c>
      <c r="B3" s="7" t="s">
        <v>56</v>
      </c>
      <c r="C3" s="31" t="s">
        <v>109</v>
      </c>
      <c r="D3" s="14" t="s">
        <v>110</v>
      </c>
      <c r="E3" s="14">
        <v>16</v>
      </c>
      <c r="F3" s="14" t="s">
        <v>111</v>
      </c>
      <c r="G3" s="14" t="s">
        <v>112</v>
      </c>
      <c r="H3" s="14"/>
      <c r="I3" s="17"/>
    </row>
    <row r="4" spans="1:9" ht="20.25" customHeight="1" x14ac:dyDescent="0.2">
      <c r="A4" s="7" t="s">
        <v>114</v>
      </c>
      <c r="B4" s="7" t="s">
        <v>57</v>
      </c>
      <c r="C4" s="31" t="s">
        <v>109</v>
      </c>
      <c r="D4" s="14" t="s">
        <v>110</v>
      </c>
      <c r="E4" s="14">
        <v>16</v>
      </c>
      <c r="F4" s="14" t="s">
        <v>111</v>
      </c>
      <c r="G4" s="14" t="s">
        <v>112</v>
      </c>
      <c r="H4" s="14"/>
      <c r="I4" s="17"/>
    </row>
    <row r="5" spans="1:9" ht="20.25" customHeight="1" x14ac:dyDescent="0.2">
      <c r="A5" s="7" t="s">
        <v>115</v>
      </c>
      <c r="B5" s="7" t="s">
        <v>68</v>
      </c>
      <c r="C5" s="31" t="s">
        <v>109</v>
      </c>
      <c r="D5" s="14" t="s">
        <v>110</v>
      </c>
      <c r="E5" s="14">
        <v>16</v>
      </c>
      <c r="F5" s="14" t="s">
        <v>111</v>
      </c>
      <c r="G5" s="14" t="s">
        <v>112</v>
      </c>
      <c r="H5" s="14"/>
      <c r="I5" s="17"/>
    </row>
    <row r="6" spans="1:9" ht="20.25" customHeight="1" x14ac:dyDescent="0.2">
      <c r="A6" s="7" t="s">
        <v>116</v>
      </c>
      <c r="B6" s="7" t="s">
        <v>70</v>
      </c>
      <c r="C6" s="31" t="s">
        <v>109</v>
      </c>
      <c r="D6" s="14" t="s">
        <v>110</v>
      </c>
      <c r="E6" s="14">
        <v>16</v>
      </c>
      <c r="F6" s="14" t="s">
        <v>111</v>
      </c>
      <c r="G6" s="14" t="s">
        <v>112</v>
      </c>
      <c r="H6" s="14"/>
      <c r="I6" s="17"/>
    </row>
    <row r="7" spans="1:9" ht="20.25" customHeight="1" x14ac:dyDescent="0.2">
      <c r="A7" s="7" t="s">
        <v>117</v>
      </c>
      <c r="B7" s="7" t="s">
        <v>76</v>
      </c>
      <c r="C7" s="31" t="s">
        <v>109</v>
      </c>
      <c r="D7" s="14" t="s">
        <v>110</v>
      </c>
      <c r="E7" s="14">
        <v>16</v>
      </c>
      <c r="F7" s="14" t="s">
        <v>111</v>
      </c>
      <c r="G7" s="14" t="s">
        <v>112</v>
      </c>
      <c r="H7" s="14"/>
      <c r="I7" s="17"/>
    </row>
    <row r="8" spans="1:9" ht="20.25" customHeight="1" x14ac:dyDescent="0.2">
      <c r="A8" s="7" t="s">
        <v>118</v>
      </c>
      <c r="B8" s="7" t="s">
        <v>77</v>
      </c>
      <c r="C8" s="31" t="s">
        <v>109</v>
      </c>
      <c r="D8" s="14" t="s">
        <v>110</v>
      </c>
      <c r="E8" s="14">
        <v>16</v>
      </c>
      <c r="F8" s="14" t="s">
        <v>111</v>
      </c>
      <c r="G8" s="14" t="s">
        <v>112</v>
      </c>
      <c r="H8" s="14"/>
      <c r="I8" s="17"/>
    </row>
    <row r="9" spans="1:9" x14ac:dyDescent="0.2">
      <c r="A9" s="7" t="s">
        <v>119</v>
      </c>
      <c r="B9" s="7" t="s">
        <v>86</v>
      </c>
      <c r="C9" s="31" t="s">
        <v>109</v>
      </c>
      <c r="D9" s="14" t="s">
        <v>110</v>
      </c>
      <c r="E9" s="14">
        <v>16</v>
      </c>
      <c r="F9" s="14" t="s">
        <v>111</v>
      </c>
      <c r="G9" s="14" t="s">
        <v>112</v>
      </c>
      <c r="H9" s="39"/>
      <c r="I9" s="6"/>
    </row>
    <row r="10" spans="1:9" x14ac:dyDescent="0.2">
      <c r="A10" s="7" t="s">
        <v>120</v>
      </c>
      <c r="B10" s="7" t="s">
        <v>88</v>
      </c>
      <c r="C10" s="31" t="s">
        <v>109</v>
      </c>
      <c r="D10" s="14" t="s">
        <v>110</v>
      </c>
      <c r="E10" s="14">
        <v>16</v>
      </c>
      <c r="F10" s="14" t="s">
        <v>111</v>
      </c>
      <c r="G10" s="14" t="s">
        <v>112</v>
      </c>
      <c r="H10" s="7"/>
    </row>
    <row r="11" spans="1:9" x14ac:dyDescent="0.2">
      <c r="D11" s="17"/>
      <c r="F11" s="2" t="s">
        <v>121</v>
      </c>
      <c r="G11" s="17"/>
    </row>
    <row r="13" spans="1:9" x14ac:dyDescent="0.2">
      <c r="B13" s="40"/>
    </row>
    <row r="14" spans="1:9" x14ac:dyDescent="0.2">
      <c r="A14" s="38"/>
    </row>
    <row r="15" spans="1:9" x14ac:dyDescent="0.2">
      <c r="A15" s="38"/>
    </row>
    <row r="17" spans="1:4" x14ac:dyDescent="0.2">
      <c r="A17"/>
      <c r="B17" s="28"/>
      <c r="C17"/>
      <c r="D17"/>
    </row>
    <row r="18" spans="1:4" x14ac:dyDescent="0.2">
      <c r="A18"/>
      <c r="B18" s="28"/>
      <c r="C18"/>
      <c r="D18"/>
    </row>
  </sheetData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zoomScale="85" zoomScaleNormal="85" workbookViewId="0">
      <selection activeCell="E12" sqref="E12"/>
    </sheetView>
  </sheetViews>
  <sheetFormatPr defaultColWidth="9" defaultRowHeight="14.25" x14ac:dyDescent="0.2"/>
  <cols>
    <col min="1" max="1" width="18.375" style="2" customWidth="1"/>
    <col min="2" max="2" width="13.875" style="2" customWidth="1"/>
    <col min="3" max="3" width="24" style="2" customWidth="1"/>
    <col min="4" max="5" width="17.625" style="2" customWidth="1"/>
    <col min="6" max="6" width="29.375" style="2" customWidth="1"/>
    <col min="7" max="7" width="54.875" style="2" customWidth="1"/>
    <col min="8" max="16384" width="9" style="2"/>
  </cols>
  <sheetData>
    <row r="1" spans="1:7" s="1" customFormat="1" ht="27" customHeight="1" x14ac:dyDescent="0.25">
      <c r="A1" s="3" t="s">
        <v>34</v>
      </c>
      <c r="B1" s="3" t="s">
        <v>122</v>
      </c>
      <c r="C1" s="3" t="s">
        <v>123</v>
      </c>
      <c r="D1" s="3" t="s">
        <v>124</v>
      </c>
      <c r="E1" s="12" t="s">
        <v>125</v>
      </c>
      <c r="F1" s="12" t="s">
        <v>126</v>
      </c>
      <c r="G1" s="12" t="s">
        <v>47</v>
      </c>
    </row>
    <row r="2" spans="1:7" ht="20.25" customHeight="1" x14ac:dyDescent="0.2">
      <c r="A2" s="72" t="s">
        <v>127</v>
      </c>
      <c r="B2" s="72" t="s">
        <v>128</v>
      </c>
      <c r="C2" s="35" t="s">
        <v>129</v>
      </c>
      <c r="D2" s="14" t="s">
        <v>130</v>
      </c>
      <c r="E2" s="14" t="s">
        <v>131</v>
      </c>
      <c r="F2" s="14" t="s">
        <v>132</v>
      </c>
      <c r="G2" s="14"/>
    </row>
    <row r="3" spans="1:7" ht="20.25" customHeight="1" x14ac:dyDescent="0.2">
      <c r="A3" s="73"/>
      <c r="B3" s="73"/>
      <c r="C3" s="35" t="s">
        <v>133</v>
      </c>
      <c r="D3" s="14" t="s">
        <v>130</v>
      </c>
      <c r="E3" s="14" t="s">
        <v>134</v>
      </c>
      <c r="F3" s="14" t="s">
        <v>134</v>
      </c>
      <c r="G3" s="14"/>
    </row>
    <row r="4" spans="1:7" ht="20.25" customHeight="1" x14ac:dyDescent="0.2">
      <c r="A4" s="72" t="s">
        <v>135</v>
      </c>
      <c r="B4" s="72" t="s">
        <v>128</v>
      </c>
      <c r="C4" s="35" t="s">
        <v>129</v>
      </c>
      <c r="D4" s="14" t="s">
        <v>130</v>
      </c>
      <c r="E4" s="14" t="s">
        <v>136</v>
      </c>
      <c r="F4" s="36" t="s">
        <v>137</v>
      </c>
      <c r="G4" s="14"/>
    </row>
    <row r="5" spans="1:7" ht="20.25" customHeight="1" x14ac:dyDescent="0.2">
      <c r="A5" s="74"/>
      <c r="B5" s="74"/>
      <c r="C5" s="35" t="s">
        <v>133</v>
      </c>
      <c r="D5" s="14" t="s">
        <v>130</v>
      </c>
      <c r="E5" s="14" t="s">
        <v>138</v>
      </c>
      <c r="F5" s="36" t="s">
        <v>139</v>
      </c>
      <c r="G5" s="37" t="s">
        <v>140</v>
      </c>
    </row>
    <row r="6" spans="1:7" ht="20.25" customHeight="1" x14ac:dyDescent="0.2">
      <c r="A6" s="73"/>
      <c r="B6" s="73"/>
      <c r="C6" s="35" t="s">
        <v>141</v>
      </c>
      <c r="D6" s="14" t="s">
        <v>142</v>
      </c>
      <c r="E6" s="14" t="s">
        <v>143</v>
      </c>
      <c r="F6" s="14" t="s">
        <v>143</v>
      </c>
      <c r="G6" s="14"/>
    </row>
    <row r="7" spans="1:7" x14ac:dyDescent="0.2">
      <c r="D7" s="6"/>
      <c r="E7" s="6"/>
      <c r="F7" s="6"/>
      <c r="G7" s="6"/>
    </row>
    <row r="15" spans="1:7" x14ac:dyDescent="0.2">
      <c r="C15" s="38" t="s">
        <v>144</v>
      </c>
    </row>
  </sheetData>
  <mergeCells count="4">
    <mergeCell ref="A2:A3"/>
    <mergeCell ref="A4:A6"/>
    <mergeCell ref="B2:B3"/>
    <mergeCell ref="B4:B6"/>
  </mergeCells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activeCell="E12" sqref="E12"/>
    </sheetView>
  </sheetViews>
  <sheetFormatPr defaultColWidth="9" defaultRowHeight="14.25" x14ac:dyDescent="0.2"/>
  <cols>
    <col min="1" max="1" width="18.375" style="2" customWidth="1"/>
    <col min="2" max="2" width="20.125" style="2" customWidth="1"/>
    <col min="3" max="3" width="24" style="2" customWidth="1"/>
    <col min="4" max="4" width="23" style="2" customWidth="1"/>
    <col min="5" max="5" width="25" style="2" customWidth="1"/>
    <col min="6" max="16384" width="9" style="2"/>
  </cols>
  <sheetData>
    <row r="1" spans="1:7" s="1" customFormat="1" ht="27" customHeight="1" x14ac:dyDescent="0.25">
      <c r="A1" s="3" t="s">
        <v>145</v>
      </c>
      <c r="B1" s="3" t="s">
        <v>146</v>
      </c>
      <c r="C1" s="3" t="s">
        <v>147</v>
      </c>
      <c r="D1" s="3" t="s">
        <v>148</v>
      </c>
      <c r="E1" s="3" t="s">
        <v>149</v>
      </c>
    </row>
    <row r="2" spans="1:7" ht="20.25" customHeight="1" x14ac:dyDescent="0.2">
      <c r="A2" s="4" t="s">
        <v>150</v>
      </c>
      <c r="B2" s="4">
        <v>9002</v>
      </c>
      <c r="C2" s="4" t="s">
        <v>88</v>
      </c>
      <c r="D2" s="4">
        <v>22</v>
      </c>
      <c r="E2" s="14" t="s">
        <v>151</v>
      </c>
      <c r="G2" s="33"/>
    </row>
    <row r="3" spans="1:7" ht="20.25" customHeight="1" x14ac:dyDescent="0.2">
      <c r="A3" s="4" t="s">
        <v>150</v>
      </c>
      <c r="B3" s="4">
        <v>8888</v>
      </c>
      <c r="C3" s="4" t="s">
        <v>55</v>
      </c>
      <c r="D3" s="4">
        <v>80</v>
      </c>
      <c r="E3" s="14" t="s">
        <v>152</v>
      </c>
    </row>
    <row r="4" spans="1:7" ht="20.25" customHeight="1" x14ac:dyDescent="0.2">
      <c r="A4" s="4" t="s">
        <v>150</v>
      </c>
      <c r="B4" s="34"/>
      <c r="C4" s="4" t="s">
        <v>55</v>
      </c>
      <c r="D4" s="4">
        <v>443</v>
      </c>
      <c r="E4" s="14" t="s">
        <v>153</v>
      </c>
    </row>
    <row r="5" spans="1:7" ht="20.25" customHeight="1" x14ac:dyDescent="0.2">
      <c r="A5" s="4" t="s">
        <v>150</v>
      </c>
      <c r="B5" s="4">
        <v>8889</v>
      </c>
      <c r="C5" s="4" t="s">
        <v>55</v>
      </c>
      <c r="D5" s="4">
        <v>8088</v>
      </c>
      <c r="E5" s="14" t="s">
        <v>152</v>
      </c>
    </row>
    <row r="6" spans="1:7" ht="20.25" customHeight="1" x14ac:dyDescent="0.2">
      <c r="A6" s="4" t="s">
        <v>150</v>
      </c>
      <c r="B6" s="34">
        <v>8891</v>
      </c>
      <c r="C6" s="4" t="s">
        <v>86</v>
      </c>
      <c r="D6" s="4">
        <v>57101</v>
      </c>
      <c r="E6" s="14" t="s">
        <v>154</v>
      </c>
    </row>
    <row r="7" spans="1:7" ht="20.25" customHeight="1" x14ac:dyDescent="0.2">
      <c r="A7" s="4" t="s">
        <v>150</v>
      </c>
      <c r="B7" s="4">
        <v>9003</v>
      </c>
      <c r="C7" s="4" t="s">
        <v>155</v>
      </c>
      <c r="D7" s="4">
        <v>22</v>
      </c>
      <c r="E7" s="14" t="s">
        <v>156</v>
      </c>
    </row>
    <row r="8" spans="1:7" ht="20.25" customHeight="1" x14ac:dyDescent="0.2">
      <c r="A8" s="4" t="s">
        <v>150</v>
      </c>
      <c r="B8" s="4">
        <v>8890</v>
      </c>
      <c r="C8" s="4" t="s">
        <v>155</v>
      </c>
      <c r="D8" s="4">
        <v>8088</v>
      </c>
      <c r="E8" s="14" t="s">
        <v>157</v>
      </c>
    </row>
    <row r="9" spans="1:7" x14ac:dyDescent="0.2">
      <c r="A9" s="4" t="s">
        <v>150</v>
      </c>
      <c r="B9" s="34">
        <v>8893</v>
      </c>
      <c r="C9" s="4" t="s">
        <v>155</v>
      </c>
      <c r="D9" s="4">
        <v>80</v>
      </c>
      <c r="E9" s="14" t="s">
        <v>157</v>
      </c>
    </row>
    <row r="10" spans="1:7" x14ac:dyDescent="0.2">
      <c r="A10" s="4" t="s">
        <v>150</v>
      </c>
      <c r="B10" s="34">
        <v>8892</v>
      </c>
      <c r="C10" s="4" t="s">
        <v>155</v>
      </c>
      <c r="D10" s="4">
        <v>57000</v>
      </c>
      <c r="E10" s="14" t="s">
        <v>158</v>
      </c>
    </row>
    <row r="13" spans="1:7" x14ac:dyDescent="0.2">
      <c r="A13" s="2" t="s">
        <v>159</v>
      </c>
      <c r="B13" s="2" t="s">
        <v>160</v>
      </c>
    </row>
  </sheetData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B278-47DE-462B-ACDF-DD262EBF64BC}">
  <dimension ref="A1:L31"/>
  <sheetViews>
    <sheetView workbookViewId="0">
      <selection activeCell="C23" sqref="C23"/>
    </sheetView>
  </sheetViews>
  <sheetFormatPr defaultColWidth="9" defaultRowHeight="14.25" x14ac:dyDescent="0.2"/>
  <cols>
    <col min="1" max="1" width="5.875" style="2" customWidth="1"/>
    <col min="2" max="2" width="20.25" style="2" customWidth="1"/>
    <col min="3" max="3" width="26.875" style="2" bestFit="1" customWidth="1"/>
    <col min="4" max="4" width="9.25" style="2" bestFit="1" customWidth="1"/>
    <col min="5" max="5" width="11.375" style="2" customWidth="1"/>
    <col min="6" max="6" width="17.625" style="2" customWidth="1"/>
    <col min="7" max="8" width="14" style="2" customWidth="1"/>
    <col min="9" max="10" width="15.5" style="2" customWidth="1"/>
    <col min="11" max="11" width="26.625" style="2" customWidth="1"/>
    <col min="12" max="12" width="104.375" style="2" customWidth="1"/>
    <col min="13" max="16384" width="9" style="2"/>
  </cols>
  <sheetData>
    <row r="1" spans="1:12" s="1" customFormat="1" ht="27" customHeight="1" x14ac:dyDescent="0.25">
      <c r="A1" s="12" t="s">
        <v>161</v>
      </c>
      <c r="B1" s="12" t="s">
        <v>45</v>
      </c>
      <c r="C1" s="12" t="s">
        <v>162</v>
      </c>
      <c r="D1" s="12" t="s">
        <v>295</v>
      </c>
      <c r="E1" s="12" t="s">
        <v>294</v>
      </c>
      <c r="F1" s="12" t="s">
        <v>3</v>
      </c>
      <c r="G1" s="12" t="s">
        <v>4</v>
      </c>
      <c r="H1" s="12" t="s">
        <v>163</v>
      </c>
      <c r="I1" s="12" t="s">
        <v>42</v>
      </c>
      <c r="J1" s="12" t="s">
        <v>164</v>
      </c>
      <c r="K1" s="12" t="s">
        <v>165</v>
      </c>
      <c r="L1" s="19" t="s">
        <v>47</v>
      </c>
    </row>
    <row r="2" spans="1:12" ht="20.25" customHeight="1" x14ac:dyDescent="0.2">
      <c r="A2" s="13">
        <v>1</v>
      </c>
      <c r="B2" s="13" t="s">
        <v>166</v>
      </c>
      <c r="C2" s="53" t="s">
        <v>296</v>
      </c>
      <c r="D2" s="13"/>
      <c r="E2" s="5" t="s">
        <v>291</v>
      </c>
      <c r="F2" s="5">
        <v>4</v>
      </c>
      <c r="G2" s="5">
        <v>8</v>
      </c>
      <c r="H2" s="5">
        <v>200</v>
      </c>
      <c r="I2" s="54" t="s">
        <v>298</v>
      </c>
      <c r="L2" s="20"/>
    </row>
    <row r="3" spans="1:12" ht="20.25" customHeight="1" x14ac:dyDescent="0.2">
      <c r="A3" s="7">
        <v>2</v>
      </c>
      <c r="B3" s="7" t="s">
        <v>169</v>
      </c>
      <c r="C3" s="25" t="s">
        <v>282</v>
      </c>
      <c r="D3" s="24"/>
      <c r="E3" s="5" t="s">
        <v>291</v>
      </c>
      <c r="F3" s="14">
        <v>8</v>
      </c>
      <c r="G3" s="14">
        <v>16</v>
      </c>
      <c r="H3" s="14">
        <v>300</v>
      </c>
      <c r="I3" s="54" t="s">
        <v>299</v>
      </c>
      <c r="J3" s="25"/>
      <c r="K3" s="75" t="s">
        <v>317</v>
      </c>
      <c r="L3" s="21"/>
    </row>
    <row r="4" spans="1:12" ht="20.25" customHeight="1" x14ac:dyDescent="0.2">
      <c r="A4" s="7">
        <v>3</v>
      </c>
      <c r="B4" s="7" t="s">
        <v>170</v>
      </c>
      <c r="C4" s="54" t="s">
        <v>297</v>
      </c>
      <c r="D4" s="13"/>
      <c r="E4" s="5" t="s">
        <v>290</v>
      </c>
      <c r="F4" s="14">
        <v>8</v>
      </c>
      <c r="G4" s="14">
        <v>16</v>
      </c>
      <c r="H4" s="14">
        <v>300</v>
      </c>
      <c r="I4" s="54" t="s">
        <v>300</v>
      </c>
      <c r="J4" s="7"/>
      <c r="K4" s="76"/>
      <c r="L4" s="21"/>
    </row>
    <row r="5" spans="1:12" x14ac:dyDescent="0.2">
      <c r="A5" s="13">
        <v>4</v>
      </c>
      <c r="B5" s="7" t="s">
        <v>292</v>
      </c>
      <c r="C5" s="54" t="s">
        <v>319</v>
      </c>
      <c r="D5" s="13"/>
      <c r="E5" s="5" t="s">
        <v>290</v>
      </c>
      <c r="F5" s="14">
        <v>4</v>
      </c>
      <c r="G5" s="14">
        <v>8</v>
      </c>
      <c r="H5" s="14">
        <v>500</v>
      </c>
      <c r="I5" s="54" t="s">
        <v>301</v>
      </c>
      <c r="J5" s="7"/>
      <c r="K5" s="75" t="s">
        <v>318</v>
      </c>
      <c r="L5" s="14"/>
    </row>
    <row r="6" spans="1:12" x14ac:dyDescent="0.2">
      <c r="A6" s="7">
        <v>5</v>
      </c>
      <c r="B6" s="7" t="s">
        <v>173</v>
      </c>
      <c r="C6" s="54" t="s">
        <v>293</v>
      </c>
      <c r="D6" s="24"/>
      <c r="E6" s="5" t="s">
        <v>290</v>
      </c>
      <c r="F6" s="14">
        <v>4</v>
      </c>
      <c r="G6" s="14">
        <v>8</v>
      </c>
      <c r="H6" s="14">
        <v>500</v>
      </c>
      <c r="I6" s="54" t="s">
        <v>302</v>
      </c>
      <c r="J6" s="7"/>
      <c r="K6" s="76"/>
      <c r="L6" s="14"/>
    </row>
    <row r="7" spans="1:12" x14ac:dyDescent="0.2">
      <c r="A7" s="7">
        <v>6</v>
      </c>
      <c r="B7" s="7" t="s">
        <v>176</v>
      </c>
      <c r="C7" s="15" t="s">
        <v>177</v>
      </c>
      <c r="D7" s="55"/>
      <c r="E7" s="5" t="s">
        <v>290</v>
      </c>
      <c r="F7" s="14">
        <v>4</v>
      </c>
      <c r="G7" s="14">
        <v>8</v>
      </c>
      <c r="H7" s="14">
        <v>200</v>
      </c>
      <c r="I7" s="54" t="s">
        <v>303</v>
      </c>
      <c r="J7" s="13"/>
      <c r="K7" s="51"/>
      <c r="L7" s="5"/>
    </row>
    <row r="8" spans="1:12" x14ac:dyDescent="0.2">
      <c r="A8" s="13">
        <v>7</v>
      </c>
      <c r="B8" s="7" t="s">
        <v>178</v>
      </c>
      <c r="C8" s="7" t="s">
        <v>179</v>
      </c>
      <c r="D8" s="13"/>
      <c r="E8" s="5" t="s">
        <v>290</v>
      </c>
      <c r="F8" s="14">
        <v>8</v>
      </c>
      <c r="G8" s="14">
        <v>16</v>
      </c>
      <c r="H8" s="14">
        <v>200</v>
      </c>
      <c r="I8" s="54" t="s">
        <v>304</v>
      </c>
      <c r="J8" s="7"/>
      <c r="K8" s="23" t="s">
        <v>180</v>
      </c>
      <c r="L8" s="7"/>
    </row>
    <row r="9" spans="1:12" x14ac:dyDescent="0.2">
      <c r="A9" s="7">
        <v>8</v>
      </c>
      <c r="B9" s="7" t="s">
        <v>181</v>
      </c>
      <c r="C9" s="7" t="s">
        <v>182</v>
      </c>
      <c r="D9" s="13"/>
      <c r="E9" s="5" t="s">
        <v>290</v>
      </c>
      <c r="F9" s="14">
        <v>8</v>
      </c>
      <c r="G9" s="14">
        <v>16</v>
      </c>
      <c r="H9" s="14">
        <v>200</v>
      </c>
      <c r="I9" s="54" t="s">
        <v>305</v>
      </c>
      <c r="J9" s="7"/>
      <c r="K9" s="23" t="s">
        <v>180</v>
      </c>
      <c r="L9" s="7"/>
    </row>
    <row r="10" spans="1:12" x14ac:dyDescent="0.2">
      <c r="A10" s="7">
        <v>9</v>
      </c>
      <c r="B10" s="7" t="s">
        <v>183</v>
      </c>
      <c r="C10" s="7" t="s">
        <v>184</v>
      </c>
      <c r="D10" s="13"/>
      <c r="E10" s="5" t="s">
        <v>290</v>
      </c>
      <c r="F10" s="14">
        <v>8</v>
      </c>
      <c r="G10" s="14">
        <v>16</v>
      </c>
      <c r="H10" s="14">
        <v>200</v>
      </c>
      <c r="I10" s="54" t="s">
        <v>306</v>
      </c>
      <c r="J10" s="7"/>
      <c r="K10" s="23" t="s">
        <v>180</v>
      </c>
      <c r="L10" s="7"/>
    </row>
    <row r="11" spans="1:12" x14ac:dyDescent="0.2">
      <c r="A11" s="13">
        <v>10</v>
      </c>
      <c r="B11" s="7" t="s">
        <v>185</v>
      </c>
      <c r="C11" s="15" t="s">
        <v>186</v>
      </c>
      <c r="D11" s="55"/>
      <c r="E11" s="5" t="s">
        <v>290</v>
      </c>
      <c r="F11" s="14">
        <v>4</v>
      </c>
      <c r="G11" s="14">
        <v>8</v>
      </c>
      <c r="H11" s="14">
        <v>200</v>
      </c>
      <c r="I11" s="54" t="s">
        <v>307</v>
      </c>
      <c r="J11" s="7"/>
      <c r="K11" s="21"/>
      <c r="L11" s="21"/>
    </row>
    <row r="12" spans="1:12" x14ac:dyDescent="0.2">
      <c r="A12" s="7">
        <v>11</v>
      </c>
      <c r="B12" s="7" t="s">
        <v>187</v>
      </c>
      <c r="C12" s="15" t="s">
        <v>188</v>
      </c>
      <c r="D12" s="55"/>
      <c r="E12" s="5" t="s">
        <v>290</v>
      </c>
      <c r="F12" s="14">
        <v>4</v>
      </c>
      <c r="G12" s="14">
        <v>8</v>
      </c>
      <c r="H12" s="14">
        <v>200</v>
      </c>
      <c r="I12" s="54" t="s">
        <v>308</v>
      </c>
      <c r="J12" s="7"/>
      <c r="K12" s="21"/>
      <c r="L12" s="21"/>
    </row>
    <row r="13" spans="1:12" x14ac:dyDescent="0.2">
      <c r="A13" s="7">
        <v>12</v>
      </c>
      <c r="B13" s="7" t="s">
        <v>189</v>
      </c>
      <c r="C13" s="52" t="s">
        <v>283</v>
      </c>
      <c r="D13" s="56"/>
      <c r="E13" s="5" t="s">
        <v>290</v>
      </c>
      <c r="F13" s="14">
        <v>16</v>
      </c>
      <c r="G13" s="14">
        <v>64</v>
      </c>
      <c r="H13" s="14">
        <v>300</v>
      </c>
      <c r="I13" s="54" t="s">
        <v>309</v>
      </c>
      <c r="J13" s="13"/>
      <c r="K13" s="7"/>
      <c r="L13" s="13"/>
    </row>
    <row r="14" spans="1:12" x14ac:dyDescent="0.2">
      <c r="A14" s="13">
        <v>13</v>
      </c>
      <c r="B14" s="7" t="s">
        <v>190</v>
      </c>
      <c r="C14" s="15" t="s">
        <v>191</v>
      </c>
      <c r="D14" s="55"/>
      <c r="E14" s="5" t="s">
        <v>290</v>
      </c>
      <c r="F14" s="14">
        <v>16</v>
      </c>
      <c r="G14" s="14">
        <v>64</v>
      </c>
      <c r="H14" s="14">
        <v>300</v>
      </c>
      <c r="I14" s="54" t="s">
        <v>310</v>
      </c>
      <c r="J14" s="13"/>
      <c r="K14" s="7"/>
      <c r="L14" s="13"/>
    </row>
    <row r="15" spans="1:12" x14ac:dyDescent="0.2">
      <c r="A15" s="7">
        <v>14</v>
      </c>
      <c r="B15" s="7" t="s">
        <v>192</v>
      </c>
      <c r="C15" s="15" t="s">
        <v>193</v>
      </c>
      <c r="D15" s="55"/>
      <c r="E15" s="5" t="s">
        <v>290</v>
      </c>
      <c r="F15" s="14">
        <v>16</v>
      </c>
      <c r="G15" s="14">
        <v>64</v>
      </c>
      <c r="H15" s="14">
        <v>300</v>
      </c>
      <c r="I15" s="54" t="s">
        <v>311</v>
      </c>
      <c r="J15" s="13"/>
      <c r="K15" s="7"/>
      <c r="L15" s="13"/>
    </row>
    <row r="16" spans="1:12" x14ac:dyDescent="0.2">
      <c r="A16" s="7">
        <v>15</v>
      </c>
      <c r="B16" s="7" t="s">
        <v>194</v>
      </c>
      <c r="C16" s="15" t="s">
        <v>195</v>
      </c>
      <c r="D16" s="55"/>
      <c r="E16" s="5" t="s">
        <v>290</v>
      </c>
      <c r="F16" s="14">
        <v>16</v>
      </c>
      <c r="G16" s="14">
        <v>64</v>
      </c>
      <c r="H16" s="14">
        <v>300</v>
      </c>
      <c r="I16" s="54" t="s">
        <v>312</v>
      </c>
      <c r="J16" s="7"/>
      <c r="K16" s="7"/>
      <c r="L16" s="7"/>
    </row>
    <row r="17" spans="1:12" x14ac:dyDescent="0.2">
      <c r="A17" s="13">
        <v>16</v>
      </c>
      <c r="B17" s="7" t="s">
        <v>196</v>
      </c>
      <c r="C17" s="7" t="s">
        <v>197</v>
      </c>
      <c r="D17" s="13"/>
      <c r="E17" s="5" t="s">
        <v>290</v>
      </c>
      <c r="F17" s="14">
        <v>16</v>
      </c>
      <c r="G17" s="14">
        <v>64</v>
      </c>
      <c r="H17" s="14">
        <v>300</v>
      </c>
      <c r="I17" s="54" t="s">
        <v>313</v>
      </c>
      <c r="J17" s="7"/>
      <c r="K17" s="7"/>
      <c r="L17" s="7"/>
    </row>
    <row r="18" spans="1:12" x14ac:dyDescent="0.2">
      <c r="A18" s="7">
        <v>17</v>
      </c>
      <c r="B18" s="7" t="s">
        <v>284</v>
      </c>
      <c r="C18" s="25" t="s">
        <v>287</v>
      </c>
      <c r="D18" s="24"/>
      <c r="E18" s="5" t="s">
        <v>290</v>
      </c>
      <c r="F18" s="14">
        <v>16</v>
      </c>
      <c r="G18" s="14">
        <v>64</v>
      </c>
      <c r="H18" s="14">
        <v>300</v>
      </c>
      <c r="I18" s="54" t="s">
        <v>314</v>
      </c>
      <c r="J18" s="25"/>
      <c r="K18" s="7"/>
      <c r="L18" s="7"/>
    </row>
    <row r="19" spans="1:12" x14ac:dyDescent="0.2">
      <c r="A19" s="7">
        <v>18</v>
      </c>
      <c r="B19" s="7" t="s">
        <v>285</v>
      </c>
      <c r="C19" s="54" t="s">
        <v>288</v>
      </c>
      <c r="D19" s="53"/>
      <c r="E19" s="5" t="s">
        <v>290</v>
      </c>
      <c r="F19" s="14">
        <v>16</v>
      </c>
      <c r="G19" s="14">
        <v>64</v>
      </c>
      <c r="H19" s="14">
        <v>300</v>
      </c>
      <c r="I19" s="54" t="s">
        <v>315</v>
      </c>
      <c r="J19" s="7"/>
      <c r="K19" s="7"/>
      <c r="L19" s="7"/>
    </row>
    <row r="20" spans="1:12" x14ac:dyDescent="0.2">
      <c r="A20" s="13">
        <v>19</v>
      </c>
      <c r="B20" s="7" t="s">
        <v>286</v>
      </c>
      <c r="C20" s="54" t="s">
        <v>289</v>
      </c>
      <c r="D20" s="53"/>
      <c r="E20" s="5" t="s">
        <v>290</v>
      </c>
      <c r="F20" s="14">
        <v>16</v>
      </c>
      <c r="G20" s="14">
        <v>64</v>
      </c>
      <c r="H20" s="14">
        <v>300</v>
      </c>
      <c r="I20" s="54" t="s">
        <v>316</v>
      </c>
      <c r="J20" s="7"/>
      <c r="K20" s="7"/>
      <c r="L20" s="7"/>
    </row>
    <row r="21" spans="1:12" x14ac:dyDescent="0.2">
      <c r="A21" s="7"/>
      <c r="B21" s="7"/>
      <c r="C21" s="7"/>
      <c r="D21" s="13"/>
      <c r="E21" s="5"/>
      <c r="F21" s="14"/>
      <c r="G21" s="14"/>
      <c r="H21" s="14"/>
      <c r="I21" s="54"/>
      <c r="J21" s="7"/>
      <c r="K21" s="7"/>
      <c r="L21" s="7"/>
    </row>
    <row r="22" spans="1:12" x14ac:dyDescent="0.2">
      <c r="A22" s="7"/>
      <c r="B22" s="7"/>
      <c r="C22" s="54"/>
      <c r="D22" s="53"/>
      <c r="E22" s="5"/>
      <c r="F22" s="14"/>
      <c r="G22" s="14"/>
      <c r="H22" s="14"/>
      <c r="I22" s="54"/>
      <c r="J22" s="7"/>
      <c r="K22" s="7"/>
      <c r="L22" s="7"/>
    </row>
    <row r="23" spans="1:12" x14ac:dyDescent="0.2">
      <c r="A23" s="7"/>
      <c r="B23" s="7"/>
      <c r="C23" s="7"/>
      <c r="D23" s="7"/>
      <c r="E23" s="14"/>
      <c r="F23" s="14"/>
      <c r="G23" s="14"/>
      <c r="H23" s="14"/>
      <c r="I23" s="7"/>
      <c r="J23" s="7"/>
      <c r="K23" s="7"/>
      <c r="L23" s="7"/>
    </row>
    <row r="24" spans="1:12" x14ac:dyDescent="0.2">
      <c r="A24" s="16" t="s">
        <v>22</v>
      </c>
      <c r="B24" s="7"/>
      <c r="C24" s="7"/>
      <c r="D24" s="7"/>
      <c r="E24" s="14"/>
      <c r="F24" s="14"/>
      <c r="G24" s="14"/>
      <c r="H24" s="14"/>
      <c r="I24" s="7"/>
      <c r="J24" s="7"/>
      <c r="K24" s="7"/>
      <c r="L24" s="7"/>
    </row>
    <row r="25" spans="1:12" x14ac:dyDescent="0.2">
      <c r="E25" s="17"/>
      <c r="H25" s="17"/>
    </row>
    <row r="26" spans="1:12" x14ac:dyDescent="0.2">
      <c r="B26" s="18"/>
      <c r="C26" s="18"/>
      <c r="D26" s="18"/>
      <c r="E26" s="18"/>
    </row>
    <row r="27" spans="1:12" x14ac:dyDescent="0.2">
      <c r="B27" s="32"/>
    </row>
    <row r="30" spans="1:12" x14ac:dyDescent="0.2">
      <c r="C30"/>
      <c r="D30"/>
      <c r="E30"/>
    </row>
    <row r="31" spans="1:12" x14ac:dyDescent="0.2">
      <c r="C31"/>
      <c r="D31"/>
      <c r="E31"/>
    </row>
  </sheetData>
  <mergeCells count="2">
    <mergeCell ref="K3:K4"/>
    <mergeCell ref="K5:K6"/>
  </mergeCells>
  <phoneticPr fontId="16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abSelected="1" topLeftCell="A16" workbookViewId="0">
      <selection activeCell="I35" sqref="I35"/>
    </sheetView>
  </sheetViews>
  <sheetFormatPr defaultColWidth="9" defaultRowHeight="14.25" x14ac:dyDescent="0.2"/>
  <cols>
    <col min="1" max="1" width="5.875" style="2" customWidth="1"/>
    <col min="2" max="2" width="10" style="2" bestFit="1" customWidth="1"/>
    <col min="3" max="3" width="29.625" style="2" bestFit="1" customWidth="1"/>
    <col min="4" max="4" width="13" style="2" bestFit="1" customWidth="1"/>
    <col min="5" max="5" width="23.875" style="2" bestFit="1" customWidth="1"/>
    <col min="6" max="6" width="17.625" style="2" customWidth="1"/>
    <col min="7" max="8" width="14" style="2" customWidth="1"/>
    <col min="9" max="10" width="15.5" style="2" customWidth="1"/>
    <col min="11" max="11" width="26.625" style="2" customWidth="1"/>
    <col min="12" max="12" width="104.375" style="2" customWidth="1"/>
    <col min="13" max="16384" width="9" style="2"/>
  </cols>
  <sheetData>
    <row r="1" spans="1:12" s="1" customFormat="1" ht="27" customHeight="1" x14ac:dyDescent="0.25">
      <c r="A1" s="12" t="s">
        <v>161</v>
      </c>
      <c r="B1" s="12" t="s">
        <v>45</v>
      </c>
      <c r="C1" s="12" t="s">
        <v>162</v>
      </c>
      <c r="D1" s="12" t="s">
        <v>295</v>
      </c>
      <c r="E1" s="12" t="s">
        <v>294</v>
      </c>
      <c r="F1" s="12" t="s">
        <v>3</v>
      </c>
      <c r="G1" s="12" t="s">
        <v>4</v>
      </c>
      <c r="H1" s="12" t="s">
        <v>163</v>
      </c>
      <c r="I1" s="12" t="s">
        <v>42</v>
      </c>
      <c r="J1" s="12" t="s">
        <v>164</v>
      </c>
      <c r="K1" s="12" t="s">
        <v>165</v>
      </c>
      <c r="L1" s="19" t="s">
        <v>47</v>
      </c>
    </row>
    <row r="2" spans="1:12" x14ac:dyDescent="0.2">
      <c r="A2" s="13">
        <v>1</v>
      </c>
      <c r="B2" s="62" t="s">
        <v>327</v>
      </c>
      <c r="C2" s="82" t="s">
        <v>361</v>
      </c>
      <c r="D2" s="53"/>
      <c r="E2" s="63" t="s">
        <v>330</v>
      </c>
      <c r="F2" s="14">
        <v>64</v>
      </c>
      <c r="G2" s="14">
        <v>256</v>
      </c>
      <c r="H2" s="14">
        <v>1000</v>
      </c>
      <c r="I2" s="81" t="s">
        <v>345</v>
      </c>
      <c r="L2" s="20"/>
    </row>
    <row r="3" spans="1:12" ht="20.25" customHeight="1" x14ac:dyDescent="0.2">
      <c r="A3" s="7">
        <v>2</v>
      </c>
      <c r="B3" s="62" t="s">
        <v>328</v>
      </c>
      <c r="C3" s="82" t="s">
        <v>362</v>
      </c>
      <c r="D3" s="53"/>
      <c r="E3" s="63" t="s">
        <v>330</v>
      </c>
      <c r="F3" s="14">
        <v>64</v>
      </c>
      <c r="G3" s="14">
        <v>256</v>
      </c>
      <c r="H3" s="14">
        <v>1000</v>
      </c>
      <c r="I3" s="81" t="s">
        <v>346</v>
      </c>
      <c r="J3" s="25"/>
      <c r="K3" s="75"/>
      <c r="L3" s="21"/>
    </row>
    <row r="4" spans="1:12" ht="20.25" customHeight="1" x14ac:dyDescent="0.2">
      <c r="A4" s="13">
        <v>3</v>
      </c>
      <c r="B4" s="62" t="s">
        <v>329</v>
      </c>
      <c r="C4" s="82" t="s">
        <v>363</v>
      </c>
      <c r="D4" s="53"/>
      <c r="E4" s="63" t="s">
        <v>330</v>
      </c>
      <c r="F4" s="14">
        <v>64</v>
      </c>
      <c r="G4" s="14">
        <v>256</v>
      </c>
      <c r="H4" s="14">
        <v>1000</v>
      </c>
      <c r="I4" s="81" t="s">
        <v>347</v>
      </c>
      <c r="J4" s="7"/>
      <c r="K4" s="76"/>
      <c r="L4" s="21"/>
    </row>
    <row r="5" spans="1:12" x14ac:dyDescent="0.2">
      <c r="A5" s="7">
        <v>4</v>
      </c>
      <c r="B5" s="61" t="s">
        <v>325</v>
      </c>
      <c r="C5" s="82" t="s">
        <v>364</v>
      </c>
      <c r="D5" s="53"/>
      <c r="E5" s="63" t="s">
        <v>330</v>
      </c>
      <c r="F5" s="14">
        <v>64</v>
      </c>
      <c r="G5" s="14">
        <v>256</v>
      </c>
      <c r="H5" s="14">
        <v>1000</v>
      </c>
      <c r="I5" s="83" t="s">
        <v>412</v>
      </c>
      <c r="J5" s="7"/>
      <c r="K5" s="75"/>
      <c r="L5" s="14"/>
    </row>
    <row r="6" spans="1:12" x14ac:dyDescent="0.2">
      <c r="A6" s="13">
        <v>5</v>
      </c>
      <c r="B6" s="62" t="s">
        <v>325</v>
      </c>
      <c r="C6" s="82" t="s">
        <v>365</v>
      </c>
      <c r="D6" s="53"/>
      <c r="E6" s="63" t="s">
        <v>330</v>
      </c>
      <c r="F6" s="14">
        <v>64</v>
      </c>
      <c r="G6" s="14">
        <v>256</v>
      </c>
      <c r="H6" s="14">
        <v>1000</v>
      </c>
      <c r="I6" s="81" t="s">
        <v>348</v>
      </c>
      <c r="J6" s="7"/>
      <c r="K6" s="76"/>
      <c r="L6" s="14"/>
    </row>
    <row r="7" spans="1:12" x14ac:dyDescent="0.2">
      <c r="A7" s="7">
        <v>6</v>
      </c>
      <c r="B7" s="62" t="s">
        <v>326</v>
      </c>
      <c r="C7" s="82" t="s">
        <v>366</v>
      </c>
      <c r="D7" s="53"/>
      <c r="E7" s="63" t="s">
        <v>330</v>
      </c>
      <c r="F7" s="14">
        <v>64</v>
      </c>
      <c r="G7" s="14">
        <v>256</v>
      </c>
      <c r="H7" s="14">
        <v>1000</v>
      </c>
      <c r="I7" s="81" t="s">
        <v>349</v>
      </c>
      <c r="J7" s="7"/>
      <c r="K7" s="23"/>
      <c r="L7" s="7"/>
    </row>
    <row r="8" spans="1:12" x14ac:dyDescent="0.2">
      <c r="A8" s="13">
        <v>7</v>
      </c>
      <c r="B8" s="62" t="s">
        <v>326</v>
      </c>
      <c r="C8" s="82" t="s">
        <v>367</v>
      </c>
      <c r="D8" s="53"/>
      <c r="E8" s="63" t="s">
        <v>330</v>
      </c>
      <c r="F8" s="14">
        <v>64</v>
      </c>
      <c r="G8" s="14">
        <v>256</v>
      </c>
      <c r="H8" s="14">
        <v>1000</v>
      </c>
      <c r="I8" s="83" t="s">
        <v>410</v>
      </c>
      <c r="J8" s="7"/>
      <c r="K8" s="23"/>
      <c r="L8" s="7"/>
    </row>
    <row r="9" spans="1:12" x14ac:dyDescent="0.2">
      <c r="A9" s="7">
        <v>8</v>
      </c>
      <c r="B9" s="62" t="s">
        <v>326</v>
      </c>
      <c r="C9" s="82" t="s">
        <v>368</v>
      </c>
      <c r="D9" s="53"/>
      <c r="E9" s="63" t="s">
        <v>330</v>
      </c>
      <c r="F9" s="14">
        <v>64</v>
      </c>
      <c r="G9" s="14">
        <v>256</v>
      </c>
      <c r="H9" s="14">
        <v>1000</v>
      </c>
      <c r="I9" s="81" t="s">
        <v>350</v>
      </c>
      <c r="J9" s="7"/>
      <c r="K9" s="23"/>
      <c r="L9" s="7"/>
    </row>
    <row r="10" spans="1:12" x14ac:dyDescent="0.2">
      <c r="A10" s="13">
        <v>9</v>
      </c>
      <c r="B10" s="62" t="s">
        <v>326</v>
      </c>
      <c r="C10" s="82" t="s">
        <v>369</v>
      </c>
      <c r="D10" s="53"/>
      <c r="E10" s="63" t="s">
        <v>330</v>
      </c>
      <c r="F10" s="14">
        <v>64</v>
      </c>
      <c r="G10" s="14">
        <v>256</v>
      </c>
      <c r="H10" s="14">
        <v>1000</v>
      </c>
      <c r="I10" s="81" t="s">
        <v>351</v>
      </c>
      <c r="J10" s="13"/>
      <c r="K10" s="7"/>
      <c r="L10" s="13"/>
    </row>
    <row r="11" spans="1:12" x14ac:dyDescent="0.2">
      <c r="A11" s="7">
        <v>10</v>
      </c>
      <c r="B11" s="62" t="s">
        <v>326</v>
      </c>
      <c r="C11" s="82" t="s">
        <v>370</v>
      </c>
      <c r="D11" s="53"/>
      <c r="E11" s="63" t="s">
        <v>330</v>
      </c>
      <c r="F11" s="14">
        <v>64</v>
      </c>
      <c r="G11" s="14">
        <v>256</v>
      </c>
      <c r="H11" s="14">
        <v>1000</v>
      </c>
      <c r="I11" s="81" t="s">
        <v>352</v>
      </c>
      <c r="J11" s="13"/>
      <c r="K11" s="7"/>
      <c r="L11" s="13"/>
    </row>
    <row r="12" spans="1:12" x14ac:dyDescent="0.2">
      <c r="A12" s="13">
        <v>11</v>
      </c>
      <c r="B12" s="62" t="s">
        <v>326</v>
      </c>
      <c r="C12" s="82" t="s">
        <v>371</v>
      </c>
      <c r="D12" s="53"/>
      <c r="E12" s="63" t="s">
        <v>330</v>
      </c>
      <c r="F12" s="14">
        <v>64</v>
      </c>
      <c r="G12" s="14">
        <v>256</v>
      </c>
      <c r="H12" s="14">
        <v>1000</v>
      </c>
      <c r="I12" s="81" t="s">
        <v>353</v>
      </c>
      <c r="J12" s="13"/>
      <c r="K12" s="7"/>
      <c r="L12" s="13"/>
    </row>
    <row r="13" spans="1:12" x14ac:dyDescent="0.2">
      <c r="A13" s="7">
        <v>12</v>
      </c>
      <c r="B13" s="62" t="s">
        <v>326</v>
      </c>
      <c r="C13" s="82" t="s">
        <v>372</v>
      </c>
      <c r="D13" s="53"/>
      <c r="E13" s="63" t="s">
        <v>330</v>
      </c>
      <c r="F13" s="14">
        <v>64</v>
      </c>
      <c r="G13" s="14">
        <v>256</v>
      </c>
      <c r="H13" s="14">
        <v>1000</v>
      </c>
      <c r="I13" s="81" t="s">
        <v>354</v>
      </c>
      <c r="J13" s="7"/>
      <c r="K13" s="7"/>
      <c r="L13" s="7"/>
    </row>
    <row r="14" spans="1:12" x14ac:dyDescent="0.2">
      <c r="A14" s="13">
        <v>13</v>
      </c>
      <c r="B14" s="62" t="s">
        <v>326</v>
      </c>
      <c r="C14" s="82" t="s">
        <v>373</v>
      </c>
      <c r="D14" s="53"/>
      <c r="E14" s="63" t="s">
        <v>330</v>
      </c>
      <c r="F14" s="14">
        <v>64</v>
      </c>
      <c r="G14" s="14">
        <v>256</v>
      </c>
      <c r="H14" s="14">
        <v>1000</v>
      </c>
      <c r="I14" s="81" t="s">
        <v>355</v>
      </c>
      <c r="J14" s="7"/>
      <c r="K14" s="23"/>
      <c r="L14" s="7"/>
    </row>
    <row r="15" spans="1:12" x14ac:dyDescent="0.2">
      <c r="A15" s="7">
        <v>14</v>
      </c>
      <c r="B15" s="62" t="s">
        <v>326</v>
      </c>
      <c r="C15" s="82" t="s">
        <v>374</v>
      </c>
      <c r="D15" s="53"/>
      <c r="E15" s="63" t="s">
        <v>330</v>
      </c>
      <c r="F15" s="14">
        <v>64</v>
      </c>
      <c r="G15" s="14">
        <v>256</v>
      </c>
      <c r="H15" s="14">
        <v>1000</v>
      </c>
      <c r="I15" s="81" t="s">
        <v>356</v>
      </c>
      <c r="J15" s="13"/>
      <c r="K15" s="7"/>
      <c r="L15" s="13"/>
    </row>
    <row r="16" spans="1:12" x14ac:dyDescent="0.2">
      <c r="A16" s="13">
        <v>15</v>
      </c>
      <c r="B16" s="62" t="s">
        <v>326</v>
      </c>
      <c r="C16" s="82" t="s">
        <v>375</v>
      </c>
      <c r="D16" s="53"/>
      <c r="E16" s="63" t="s">
        <v>330</v>
      </c>
      <c r="F16" s="14">
        <v>64</v>
      </c>
      <c r="G16" s="14">
        <v>256</v>
      </c>
      <c r="H16" s="14">
        <v>1000</v>
      </c>
      <c r="I16" s="81" t="s">
        <v>357</v>
      </c>
      <c r="J16" s="13"/>
      <c r="K16" s="7"/>
      <c r="L16" s="13"/>
    </row>
    <row r="17" spans="1:12" x14ac:dyDescent="0.2">
      <c r="A17" s="7">
        <v>16</v>
      </c>
      <c r="B17" s="62" t="s">
        <v>326</v>
      </c>
      <c r="C17" s="82" t="s">
        <v>376</v>
      </c>
      <c r="D17" s="53"/>
      <c r="E17" s="63" t="s">
        <v>330</v>
      </c>
      <c r="F17" s="14">
        <v>64</v>
      </c>
      <c r="G17" s="14">
        <v>256</v>
      </c>
      <c r="H17" s="14">
        <v>1000</v>
      </c>
      <c r="I17" s="83" t="s">
        <v>383</v>
      </c>
      <c r="J17" s="13"/>
      <c r="K17" s="7"/>
      <c r="L17" s="13"/>
    </row>
    <row r="18" spans="1:12" x14ac:dyDescent="0.2">
      <c r="A18" s="13">
        <v>17</v>
      </c>
      <c r="B18" s="62" t="s">
        <v>326</v>
      </c>
      <c r="C18" s="82" t="s">
        <v>389</v>
      </c>
      <c r="D18" s="53"/>
      <c r="E18" s="63" t="s">
        <v>330</v>
      </c>
      <c r="F18" s="14">
        <v>8</v>
      </c>
      <c r="G18" s="14">
        <v>16</v>
      </c>
      <c r="H18" s="14">
        <v>300</v>
      </c>
      <c r="I18" s="83" t="s">
        <v>384</v>
      </c>
      <c r="J18" s="7"/>
      <c r="K18" s="7"/>
      <c r="L18" s="7"/>
    </row>
    <row r="19" spans="1:12" x14ac:dyDescent="0.2">
      <c r="A19" s="7">
        <v>18</v>
      </c>
      <c r="B19" s="62" t="s">
        <v>326</v>
      </c>
      <c r="C19" s="82" t="s">
        <v>387</v>
      </c>
      <c r="D19" s="53"/>
      <c r="E19" s="63" t="s">
        <v>330</v>
      </c>
      <c r="F19" s="14">
        <v>8</v>
      </c>
      <c r="G19" s="14">
        <v>16</v>
      </c>
      <c r="H19" s="14">
        <v>300</v>
      </c>
      <c r="I19" s="83" t="s">
        <v>385</v>
      </c>
      <c r="J19" s="7"/>
      <c r="K19" s="7"/>
      <c r="L19" s="7"/>
    </row>
    <row r="20" spans="1:12" x14ac:dyDescent="0.2">
      <c r="A20" s="13">
        <v>19</v>
      </c>
      <c r="B20" s="62" t="s">
        <v>326</v>
      </c>
      <c r="C20" s="82" t="s">
        <v>388</v>
      </c>
      <c r="D20" s="53"/>
      <c r="E20" s="63" t="s">
        <v>330</v>
      </c>
      <c r="F20" s="14">
        <v>8</v>
      </c>
      <c r="G20" s="14">
        <v>16</v>
      </c>
      <c r="H20" s="14">
        <v>300</v>
      </c>
      <c r="I20" s="83" t="s">
        <v>386</v>
      </c>
      <c r="J20" s="7"/>
      <c r="K20" s="7"/>
      <c r="L20" s="7"/>
    </row>
    <row r="21" spans="1:12" x14ac:dyDescent="0.2">
      <c r="A21" s="13">
        <v>20</v>
      </c>
      <c r="B21" s="62" t="s">
        <v>326</v>
      </c>
      <c r="C21" s="82" t="s">
        <v>396</v>
      </c>
      <c r="D21" s="53"/>
      <c r="E21" s="63" t="s">
        <v>401</v>
      </c>
      <c r="F21" s="14">
        <v>64</v>
      </c>
      <c r="G21" s="14">
        <v>256</v>
      </c>
      <c r="H21" s="14">
        <v>1000</v>
      </c>
      <c r="I21" s="83" t="s">
        <v>391</v>
      </c>
      <c r="J21" s="7"/>
      <c r="K21" s="7"/>
      <c r="L21" s="7"/>
    </row>
    <row r="22" spans="1:12" x14ac:dyDescent="0.2">
      <c r="A22" s="7">
        <v>21</v>
      </c>
      <c r="B22" s="62" t="s">
        <v>326</v>
      </c>
      <c r="C22" s="82" t="s">
        <v>397</v>
      </c>
      <c r="D22" s="53"/>
      <c r="E22" s="63" t="s">
        <v>401</v>
      </c>
      <c r="F22" s="14">
        <v>64</v>
      </c>
      <c r="G22" s="14">
        <v>256</v>
      </c>
      <c r="H22" s="14">
        <v>1000</v>
      </c>
      <c r="I22" s="83" t="s">
        <v>392</v>
      </c>
      <c r="J22" s="7"/>
      <c r="K22" s="7"/>
      <c r="L22" s="7"/>
    </row>
    <row r="23" spans="1:12" x14ac:dyDescent="0.2">
      <c r="A23" s="13">
        <v>22</v>
      </c>
      <c r="B23" s="62" t="s">
        <v>326</v>
      </c>
      <c r="C23" s="82" t="s">
        <v>398</v>
      </c>
      <c r="D23" s="53"/>
      <c r="E23" s="63" t="s">
        <v>401</v>
      </c>
      <c r="F23" s="14">
        <v>64</v>
      </c>
      <c r="G23" s="14">
        <v>256</v>
      </c>
      <c r="H23" s="14">
        <v>1000</v>
      </c>
      <c r="I23" s="83" t="s">
        <v>393</v>
      </c>
      <c r="J23" s="7"/>
      <c r="K23" s="7"/>
      <c r="L23" s="7"/>
    </row>
    <row r="24" spans="1:12" x14ac:dyDescent="0.2">
      <c r="A24" s="13">
        <v>23</v>
      </c>
      <c r="B24" s="62" t="s">
        <v>326</v>
      </c>
      <c r="C24" s="82" t="s">
        <v>399</v>
      </c>
      <c r="D24" s="53"/>
      <c r="E24" s="63" t="s">
        <v>401</v>
      </c>
      <c r="F24" s="14">
        <v>64</v>
      </c>
      <c r="G24" s="14">
        <v>256</v>
      </c>
      <c r="H24" s="14">
        <v>1000</v>
      </c>
      <c r="I24" s="83" t="s">
        <v>394</v>
      </c>
      <c r="J24" s="7"/>
      <c r="K24" s="7"/>
      <c r="L24" s="7"/>
    </row>
    <row r="25" spans="1:12" x14ac:dyDescent="0.2">
      <c r="A25" s="7">
        <v>24</v>
      </c>
      <c r="B25" s="62" t="s">
        <v>326</v>
      </c>
      <c r="C25" s="82" t="s">
        <v>400</v>
      </c>
      <c r="D25" s="53"/>
      <c r="E25" s="63" t="s">
        <v>401</v>
      </c>
      <c r="F25" s="14">
        <v>64</v>
      </c>
      <c r="G25" s="14">
        <v>256</v>
      </c>
      <c r="H25" s="14">
        <v>1000</v>
      </c>
      <c r="I25" s="83" t="s">
        <v>395</v>
      </c>
      <c r="J25" s="7"/>
      <c r="K25" s="7"/>
      <c r="L25" s="7"/>
    </row>
    <row r="26" spans="1:12" x14ac:dyDescent="0.2">
      <c r="A26" s="13">
        <v>25</v>
      </c>
      <c r="B26" s="62"/>
      <c r="C26" s="82"/>
      <c r="D26" s="53"/>
      <c r="E26" s="63"/>
      <c r="F26" s="14"/>
      <c r="G26" s="14"/>
      <c r="H26" s="14"/>
      <c r="I26" s="83"/>
      <c r="J26" s="7"/>
      <c r="K26" s="7"/>
      <c r="L26" s="7"/>
    </row>
    <row r="27" spans="1:12" ht="27" x14ac:dyDescent="0.2">
      <c r="A27" s="7">
        <v>20</v>
      </c>
      <c r="B27" s="7" t="s">
        <v>402</v>
      </c>
      <c r="C27" s="85" t="s">
        <v>403</v>
      </c>
      <c r="D27" s="53"/>
      <c r="E27" s="5" t="s">
        <v>404</v>
      </c>
      <c r="F27" s="14"/>
      <c r="G27" s="14"/>
      <c r="H27" s="14"/>
      <c r="I27" s="83" t="s">
        <v>390</v>
      </c>
      <c r="J27" s="84" t="s">
        <v>409</v>
      </c>
      <c r="K27" s="7"/>
      <c r="L27" s="7"/>
    </row>
    <row r="28" spans="1:12" x14ac:dyDescent="0.2">
      <c r="A28" s="13">
        <v>21</v>
      </c>
      <c r="B28" s="7"/>
      <c r="C28" s="7"/>
      <c r="D28" s="7"/>
      <c r="E28" s="14"/>
      <c r="F28" s="14"/>
      <c r="G28" s="14"/>
      <c r="H28" s="14"/>
      <c r="I28" s="7"/>
      <c r="J28" s="7"/>
      <c r="K28" s="7"/>
      <c r="L28" s="7"/>
    </row>
    <row r="29" spans="1:12" x14ac:dyDescent="0.2">
      <c r="A29" s="16" t="s">
        <v>22</v>
      </c>
      <c r="B29" s="7"/>
      <c r="C29" s="7"/>
      <c r="D29" s="7"/>
      <c r="E29" s="14"/>
      <c r="F29" s="14"/>
      <c r="G29" s="14"/>
      <c r="H29" s="14"/>
      <c r="I29" s="7"/>
      <c r="J29" s="7"/>
      <c r="K29" s="7"/>
      <c r="L29" s="7"/>
    </row>
    <row r="30" spans="1:12" x14ac:dyDescent="0.2">
      <c r="A30" s="57"/>
      <c r="D30" s="7" t="s">
        <v>323</v>
      </c>
      <c r="E30" s="27" t="s">
        <v>358</v>
      </c>
      <c r="F30" s="17"/>
      <c r="G30" s="17"/>
      <c r="H30" s="17"/>
    </row>
    <row r="31" spans="1:12" x14ac:dyDescent="0.2">
      <c r="D31" s="7"/>
      <c r="E31" s="14"/>
      <c r="H31" s="17"/>
    </row>
    <row r="32" spans="1:12" x14ac:dyDescent="0.2">
      <c r="B32" s="18"/>
      <c r="C32" s="18"/>
      <c r="D32" s="60" t="s">
        <v>321</v>
      </c>
      <c r="E32" s="64"/>
    </row>
    <row r="33" spans="2:7" x14ac:dyDescent="0.2">
      <c r="B33" s="32"/>
      <c r="D33" s="7"/>
      <c r="E33" s="7" t="s">
        <v>322</v>
      </c>
    </row>
    <row r="34" spans="2:7" x14ac:dyDescent="0.2">
      <c r="D34" s="7"/>
      <c r="E34" s="54"/>
    </row>
    <row r="35" spans="2:7" x14ac:dyDescent="0.2">
      <c r="D35" s="7"/>
      <c r="E35" s="7"/>
    </row>
    <row r="36" spans="2:7" x14ac:dyDescent="0.2">
      <c r="C36"/>
      <c r="D36" s="31"/>
      <c r="E36" s="31"/>
    </row>
    <row r="37" spans="2:7" x14ac:dyDescent="0.2">
      <c r="C37"/>
      <c r="D37"/>
      <c r="E37"/>
    </row>
    <row r="38" spans="2:7" x14ac:dyDescent="0.2">
      <c r="D38" s="2" t="s">
        <v>339</v>
      </c>
      <c r="E38" s="2" t="s">
        <v>359</v>
      </c>
      <c r="F38" s="2" t="s">
        <v>360</v>
      </c>
    </row>
    <row r="40" spans="2:7" x14ac:dyDescent="0.2">
      <c r="G40" s="30"/>
    </row>
  </sheetData>
  <mergeCells count="2">
    <mergeCell ref="K3:K4"/>
    <mergeCell ref="K5:K6"/>
  </mergeCells>
  <phoneticPr fontId="13" type="noConversion"/>
  <hyperlinks>
    <hyperlink ref="E30" r:id="rId1" xr:uid="{0B5CA4AC-721F-4C4C-A207-682828DA2803}"/>
    <hyperlink ref="J27" r:id="rId2" xr:uid="{FC72696A-0046-4A02-9602-B0EE3F2DC075}"/>
  </hyperlinks>
  <pageMargins left="0.69930555555555596" right="0.69930555555555596" top="0.75" bottom="0.75" header="0.3" footer="0.3"/>
  <pageSetup paperSize="9" orientation="portrait" r:id="rId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29"/>
  <sheetViews>
    <sheetView workbookViewId="0">
      <selection activeCell="D21" sqref="D21"/>
    </sheetView>
  </sheetViews>
  <sheetFormatPr defaultColWidth="9" defaultRowHeight="14.25" x14ac:dyDescent="0.2"/>
  <cols>
    <col min="2" max="2" width="29.125" bestFit="1" customWidth="1"/>
    <col min="3" max="3" width="76.5" customWidth="1"/>
    <col min="4" max="4" width="24.625" customWidth="1"/>
    <col min="5" max="5" width="45.25" bestFit="1" customWidth="1"/>
    <col min="6" max="6" width="13.375" customWidth="1"/>
    <col min="7" max="7" width="39.375" bestFit="1" customWidth="1"/>
  </cols>
  <sheetData>
    <row r="1" spans="2:7" x14ac:dyDescent="0.2">
      <c r="B1" s="29" t="s">
        <v>320</v>
      </c>
      <c r="C1" s="30" t="s">
        <v>377</v>
      </c>
      <c r="D1" s="30" t="s">
        <v>379</v>
      </c>
    </row>
    <row r="2" spans="2:7" x14ac:dyDescent="0.2">
      <c r="B2" s="58" t="s">
        <v>331</v>
      </c>
      <c r="C2" s="30" t="s">
        <v>377</v>
      </c>
      <c r="D2" s="30" t="s">
        <v>378</v>
      </c>
    </row>
    <row r="3" spans="2:7" x14ac:dyDescent="0.2">
      <c r="B3" s="58"/>
      <c r="C3" s="66" t="s">
        <v>381</v>
      </c>
      <c r="D3" s="66" t="s">
        <v>380</v>
      </c>
      <c r="E3" s="66" t="s">
        <v>333</v>
      </c>
      <c r="F3" s="59"/>
      <c r="G3" s="59"/>
    </row>
    <row r="4" spans="2:7" x14ac:dyDescent="0.2">
      <c r="B4" s="58"/>
      <c r="C4" s="30"/>
      <c r="D4" s="30"/>
      <c r="E4" s="59"/>
      <c r="F4" s="59"/>
      <c r="G4" s="59"/>
    </row>
    <row r="5" spans="2:7" x14ac:dyDescent="0.2">
      <c r="B5" s="58" t="s">
        <v>324</v>
      </c>
      <c r="C5" s="30" t="s">
        <v>382</v>
      </c>
    </row>
    <row r="6" spans="2:7" x14ac:dyDescent="0.2">
      <c r="B6" s="58" t="s">
        <v>332</v>
      </c>
      <c r="C6" s="66" t="s">
        <v>406</v>
      </c>
    </row>
    <row r="7" spans="2:7" x14ac:dyDescent="0.2">
      <c r="B7" s="29"/>
      <c r="C7" s="66" t="s">
        <v>407</v>
      </c>
    </row>
    <row r="8" spans="2:7" x14ac:dyDescent="0.2">
      <c r="B8" s="29"/>
      <c r="C8" s="66" t="s">
        <v>405</v>
      </c>
    </row>
    <row r="9" spans="2:7" x14ac:dyDescent="0.2">
      <c r="B9" s="29"/>
      <c r="C9" t="s">
        <v>198</v>
      </c>
    </row>
    <row r="10" spans="2:7" x14ac:dyDescent="0.2">
      <c r="B10" s="29"/>
      <c r="C10" s="66" t="s">
        <v>408</v>
      </c>
    </row>
    <row r="13" spans="2:7" x14ac:dyDescent="0.2">
      <c r="B13" s="58" t="s">
        <v>337</v>
      </c>
      <c r="C13" s="30" t="s">
        <v>413</v>
      </c>
      <c r="D13" t="s">
        <v>340</v>
      </c>
      <c r="E13" s="66" t="s">
        <v>411</v>
      </c>
    </row>
    <row r="14" spans="2:7" x14ac:dyDescent="0.2">
      <c r="B14" s="58" t="s">
        <v>336</v>
      </c>
      <c r="C14" s="30" t="s">
        <v>414</v>
      </c>
      <c r="D14" s="67">
        <v>1.58</v>
      </c>
    </row>
    <row r="15" spans="2:7" x14ac:dyDescent="0.2">
      <c r="B15" s="58" t="s">
        <v>335</v>
      </c>
      <c r="C15" s="30" t="s">
        <v>415</v>
      </c>
      <c r="D15" t="s">
        <v>342</v>
      </c>
    </row>
    <row r="16" spans="2:7" x14ac:dyDescent="0.2">
      <c r="B16" s="58" t="s">
        <v>334</v>
      </c>
      <c r="C16" s="30" t="s">
        <v>416</v>
      </c>
      <c r="D16" t="s">
        <v>341</v>
      </c>
    </row>
    <row r="17" spans="2:5" x14ac:dyDescent="0.2">
      <c r="B17" s="65" t="s">
        <v>338</v>
      </c>
      <c r="C17" s="30"/>
      <c r="D17" s="30"/>
    </row>
    <row r="18" spans="2:5" x14ac:dyDescent="0.2">
      <c r="C18" s="30"/>
      <c r="D18" s="30"/>
    </row>
    <row r="19" spans="2:5" x14ac:dyDescent="0.2">
      <c r="C19" s="30"/>
      <c r="D19" s="30"/>
    </row>
    <row r="20" spans="2:5" x14ac:dyDescent="0.2">
      <c r="C20" s="30"/>
    </row>
    <row r="21" spans="2:5" x14ac:dyDescent="0.2">
      <c r="C21" s="30" t="s">
        <v>343</v>
      </c>
      <c r="D21" s="30"/>
    </row>
    <row r="22" spans="2:5" x14ac:dyDescent="0.2">
      <c r="C22" s="66" t="s">
        <v>344</v>
      </c>
    </row>
    <row r="25" spans="2:5" x14ac:dyDescent="0.2">
      <c r="C25" s="30"/>
      <c r="E25" s="30"/>
    </row>
    <row r="26" spans="2:5" x14ac:dyDescent="0.2">
      <c r="C26" s="30"/>
    </row>
    <row r="27" spans="2:5" x14ac:dyDescent="0.2">
      <c r="C27" s="30"/>
    </row>
    <row r="28" spans="2:5" x14ac:dyDescent="0.2">
      <c r="C28" s="30"/>
    </row>
    <row r="29" spans="2:5" x14ac:dyDescent="0.2">
      <c r="C29" s="30"/>
    </row>
  </sheetData>
  <phoneticPr fontId="13" type="noConversion"/>
  <hyperlinks>
    <hyperlink ref="C1" r:id="rId1" xr:uid="{00000000-0004-0000-0800-000000000000}"/>
    <hyperlink ref="C5" r:id="rId2" xr:uid="{83EDFF6D-1539-4E92-94F8-34A6373845EA}"/>
    <hyperlink ref="C2" r:id="rId3" xr:uid="{D9AABBAC-76BE-4894-B0BE-D9625283A591}"/>
    <hyperlink ref="C15" r:id="rId4" xr:uid="{512BF9B8-20A1-4AF4-AF6A-2433271E1BF7}"/>
    <hyperlink ref="C16" r:id="rId5" xr:uid="{0E96BBB7-08B0-41FD-8ECD-4630D121A205}"/>
    <hyperlink ref="C13" r:id="rId6" xr:uid="{005EB77C-C990-42CF-AA86-D3B361F3FF18}"/>
    <hyperlink ref="C14" r:id="rId7" xr:uid="{A8698FD3-7E4A-43E8-AC22-E5613F4A24C8}"/>
    <hyperlink ref="D1" r:id="rId8" xr:uid="{08976920-EE1F-4455-BDEF-83CF3577DE79}"/>
  </hyperlinks>
  <pageMargins left="0.7" right="0.7" top="0.75" bottom="0.75" header="0.3" footer="0.3"/>
  <pageSetup paperSize="9" orientation="portrait" verticalDpi="0"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2"/>
  <sheetViews>
    <sheetView workbookViewId="0">
      <selection activeCell="E12" sqref="E12"/>
    </sheetView>
  </sheetViews>
  <sheetFormatPr defaultColWidth="8.875" defaultRowHeight="14.25" x14ac:dyDescent="0.2"/>
  <cols>
    <col min="2" max="3" width="20.5" customWidth="1"/>
    <col min="4" max="4" width="18.5" customWidth="1"/>
    <col min="5" max="5" width="30" customWidth="1"/>
    <col min="6" max="6" width="12.625" customWidth="1"/>
    <col min="7" max="7" width="17.25" customWidth="1"/>
    <col min="8" max="8" width="14.375" customWidth="1"/>
    <col min="9" max="9" width="12" customWidth="1"/>
    <col min="10" max="10" width="13.875" customWidth="1"/>
    <col min="11" max="11" width="17.5" customWidth="1"/>
    <col min="12" max="12" width="9.75" customWidth="1"/>
  </cols>
  <sheetData>
    <row r="1" spans="1:12" s="1" customFormat="1" ht="27" customHeight="1" x14ac:dyDescent="0.25">
      <c r="A1" s="12" t="s">
        <v>161</v>
      </c>
      <c r="B1" s="12" t="s">
        <v>45</v>
      </c>
      <c r="C1" s="12" t="s">
        <v>162</v>
      </c>
      <c r="D1" s="12" t="s">
        <v>199</v>
      </c>
      <c r="E1" s="12" t="s">
        <v>2</v>
      </c>
      <c r="F1" s="12" t="s">
        <v>3</v>
      </c>
      <c r="G1" s="12" t="s">
        <v>4</v>
      </c>
      <c r="H1" s="12" t="s">
        <v>163</v>
      </c>
      <c r="I1" s="12" t="s">
        <v>200</v>
      </c>
      <c r="J1" s="12" t="s">
        <v>201</v>
      </c>
      <c r="K1" s="12" t="s">
        <v>7</v>
      </c>
      <c r="L1" s="19" t="s">
        <v>47</v>
      </c>
    </row>
    <row r="2" spans="1:12" s="2" customFormat="1" x14ac:dyDescent="0.2">
      <c r="A2" s="13">
        <v>1</v>
      </c>
      <c r="B2" s="13" t="s">
        <v>166</v>
      </c>
      <c r="C2" s="13" t="s">
        <v>167</v>
      </c>
      <c r="D2" s="24" t="s">
        <v>202</v>
      </c>
      <c r="E2" s="5" t="s">
        <v>168</v>
      </c>
      <c r="F2" s="5">
        <v>4</v>
      </c>
      <c r="G2" s="5">
        <v>8</v>
      </c>
      <c r="H2" s="5">
        <v>200</v>
      </c>
      <c r="I2" s="14" t="s">
        <v>203</v>
      </c>
      <c r="J2" s="14" t="s">
        <v>204</v>
      </c>
      <c r="L2" s="20"/>
    </row>
    <row r="3" spans="1:12" s="2" customFormat="1" ht="27" x14ac:dyDescent="0.2">
      <c r="A3" s="7">
        <v>2</v>
      </c>
      <c r="B3" s="7" t="s">
        <v>205</v>
      </c>
      <c r="C3" s="13" t="s">
        <v>206</v>
      </c>
      <c r="D3" s="24" t="s">
        <v>202</v>
      </c>
      <c r="E3" s="5" t="s">
        <v>168</v>
      </c>
      <c r="F3" s="14">
        <v>2</v>
      </c>
      <c r="G3" s="14">
        <v>4</v>
      </c>
      <c r="H3" s="14">
        <v>200</v>
      </c>
      <c r="I3" s="14" t="s">
        <v>207</v>
      </c>
      <c r="J3" s="14" t="s">
        <v>208</v>
      </c>
      <c r="K3" s="26" t="s">
        <v>209</v>
      </c>
      <c r="L3" s="21"/>
    </row>
    <row r="4" spans="1:12" s="2" customFormat="1" ht="57" x14ac:dyDescent="0.2">
      <c r="A4" s="13">
        <v>3</v>
      </c>
      <c r="B4" s="7" t="s">
        <v>171</v>
      </c>
      <c r="C4" s="13" t="s">
        <v>172</v>
      </c>
      <c r="D4" s="24" t="s">
        <v>202</v>
      </c>
      <c r="E4" s="5" t="s">
        <v>168</v>
      </c>
      <c r="F4" s="14">
        <v>4</v>
      </c>
      <c r="G4" s="14">
        <v>8</v>
      </c>
      <c r="H4" s="14">
        <v>500</v>
      </c>
      <c r="I4" s="14" t="s">
        <v>210</v>
      </c>
      <c r="J4" s="14" t="s">
        <v>211</v>
      </c>
      <c r="K4" s="26" t="s">
        <v>209</v>
      </c>
      <c r="L4" s="27" t="s">
        <v>212</v>
      </c>
    </row>
    <row r="5" spans="1:12" s="2" customFormat="1" x14ac:dyDescent="0.2">
      <c r="A5" s="7">
        <v>4</v>
      </c>
      <c r="B5" s="7" t="s">
        <v>174</v>
      </c>
      <c r="C5" s="24" t="s">
        <v>175</v>
      </c>
      <c r="D5" s="24" t="s">
        <v>202</v>
      </c>
      <c r="E5" s="5" t="s">
        <v>168</v>
      </c>
      <c r="F5" s="14">
        <v>8</v>
      </c>
      <c r="G5" s="14">
        <v>32</v>
      </c>
      <c r="H5" s="14">
        <v>2000</v>
      </c>
      <c r="I5" s="14" t="s">
        <v>213</v>
      </c>
      <c r="J5" s="14"/>
      <c r="K5" s="26"/>
      <c r="L5" s="5"/>
    </row>
    <row r="6" spans="1:12" s="2" customFormat="1" x14ac:dyDescent="0.2">
      <c r="A6" s="13">
        <v>5</v>
      </c>
      <c r="B6" s="7" t="s">
        <v>178</v>
      </c>
      <c r="C6" s="13" t="s">
        <v>179</v>
      </c>
      <c r="D6" s="24" t="s">
        <v>202</v>
      </c>
      <c r="E6" s="5" t="s">
        <v>168</v>
      </c>
      <c r="F6" s="14">
        <v>8</v>
      </c>
      <c r="G6" s="14">
        <v>16</v>
      </c>
      <c r="H6" s="14">
        <v>300</v>
      </c>
      <c r="I6" s="14" t="s">
        <v>214</v>
      </c>
      <c r="J6" s="14"/>
      <c r="K6" s="23" t="s">
        <v>180</v>
      </c>
      <c r="L6" s="7"/>
    </row>
    <row r="7" spans="1:12" s="2" customFormat="1" x14ac:dyDescent="0.2">
      <c r="A7" s="7">
        <v>6</v>
      </c>
      <c r="B7" s="7" t="s">
        <v>181</v>
      </c>
      <c r="C7" s="13" t="s">
        <v>182</v>
      </c>
      <c r="D7" s="24" t="s">
        <v>202</v>
      </c>
      <c r="E7" s="5" t="s">
        <v>168</v>
      </c>
      <c r="F7" s="14">
        <v>8</v>
      </c>
      <c r="G7" s="14">
        <v>16</v>
      </c>
      <c r="H7" s="14">
        <v>300</v>
      </c>
      <c r="I7" s="14" t="s">
        <v>215</v>
      </c>
      <c r="J7" s="14"/>
      <c r="K7" s="23" t="s">
        <v>180</v>
      </c>
      <c r="L7" s="7"/>
    </row>
    <row r="8" spans="1:12" s="2" customFormat="1" x14ac:dyDescent="0.2">
      <c r="A8" s="13">
        <v>7</v>
      </c>
      <c r="B8" s="7" t="s">
        <v>183</v>
      </c>
      <c r="C8" s="13" t="s">
        <v>184</v>
      </c>
      <c r="D8" s="24" t="s">
        <v>202</v>
      </c>
      <c r="E8" s="5" t="s">
        <v>168</v>
      </c>
      <c r="F8" s="14">
        <v>8</v>
      </c>
      <c r="G8" s="14">
        <v>16</v>
      </c>
      <c r="H8" s="14">
        <v>300</v>
      </c>
      <c r="I8" s="14" t="s">
        <v>216</v>
      </c>
      <c r="J8" s="14"/>
      <c r="K8" s="23" t="s">
        <v>180</v>
      </c>
      <c r="L8" s="7"/>
    </row>
    <row r="9" spans="1:12" s="2" customFormat="1" x14ac:dyDescent="0.2">
      <c r="A9" s="7">
        <v>8</v>
      </c>
      <c r="B9" s="7" t="s">
        <v>189</v>
      </c>
      <c r="C9" s="13" t="s">
        <v>217</v>
      </c>
      <c r="D9" s="24" t="s">
        <v>202</v>
      </c>
      <c r="E9" s="5" t="s">
        <v>168</v>
      </c>
      <c r="F9" s="14">
        <v>16</v>
      </c>
      <c r="G9" s="14">
        <v>64</v>
      </c>
      <c r="H9" s="14">
        <v>300</v>
      </c>
      <c r="I9" s="14" t="s">
        <v>218</v>
      </c>
      <c r="J9" s="14"/>
      <c r="K9" s="13"/>
      <c r="L9" s="13"/>
    </row>
    <row r="10" spans="1:12" s="2" customFormat="1" x14ac:dyDescent="0.2">
      <c r="A10" s="13">
        <v>9</v>
      </c>
      <c r="B10" s="7" t="s">
        <v>190</v>
      </c>
      <c r="C10" s="13" t="s">
        <v>219</v>
      </c>
      <c r="D10" s="24" t="s">
        <v>202</v>
      </c>
      <c r="E10" s="5" t="s">
        <v>168</v>
      </c>
      <c r="F10" s="14">
        <v>16</v>
      </c>
      <c r="G10" s="14">
        <v>64</v>
      </c>
      <c r="H10" s="14">
        <v>300</v>
      </c>
      <c r="I10" s="14" t="s">
        <v>220</v>
      </c>
      <c r="J10" s="14"/>
      <c r="K10" s="13"/>
      <c r="L10" s="13"/>
    </row>
    <row r="11" spans="1:12" s="2" customFormat="1" x14ac:dyDescent="0.2">
      <c r="A11" s="7">
        <v>10</v>
      </c>
      <c r="B11" s="7" t="s">
        <v>192</v>
      </c>
      <c r="C11" s="13" t="s">
        <v>221</v>
      </c>
      <c r="D11" s="24" t="s">
        <v>202</v>
      </c>
      <c r="E11" s="5" t="s">
        <v>168</v>
      </c>
      <c r="F11" s="14">
        <v>16</v>
      </c>
      <c r="G11" s="14">
        <v>64</v>
      </c>
      <c r="H11" s="14">
        <v>300</v>
      </c>
      <c r="I11" s="14" t="s">
        <v>222</v>
      </c>
      <c r="J11" s="14"/>
      <c r="K11" s="13"/>
      <c r="L11" s="13"/>
    </row>
    <row r="12" spans="1:12" s="2" customFormat="1" x14ac:dyDescent="0.2">
      <c r="A12" s="13">
        <v>11</v>
      </c>
      <c r="B12" s="25" t="s">
        <v>223</v>
      </c>
      <c r="C12" s="24"/>
      <c r="D12" s="24" t="s">
        <v>202</v>
      </c>
      <c r="E12" s="5" t="s">
        <v>168</v>
      </c>
      <c r="F12" s="14">
        <v>8</v>
      </c>
      <c r="G12" s="14">
        <v>32</v>
      </c>
      <c r="H12" s="14">
        <v>1000</v>
      </c>
      <c r="I12" s="14" t="s">
        <v>224</v>
      </c>
      <c r="J12" s="14" t="s">
        <v>225</v>
      </c>
      <c r="K12" s="25" t="s">
        <v>226</v>
      </c>
      <c r="L12" s="7"/>
    </row>
    <row r="13" spans="1:12" s="2" customFormat="1" x14ac:dyDescent="0.2">
      <c r="A13" s="7">
        <v>12</v>
      </c>
      <c r="B13" s="25" t="s">
        <v>227</v>
      </c>
      <c r="C13" s="24"/>
      <c r="D13" s="24" t="s">
        <v>202</v>
      </c>
      <c r="E13" s="5" t="s">
        <v>168</v>
      </c>
      <c r="F13" s="14">
        <v>8</v>
      </c>
      <c r="G13" s="14">
        <v>32</v>
      </c>
      <c r="H13" s="14">
        <v>1000</v>
      </c>
      <c r="I13" s="14" t="s">
        <v>228</v>
      </c>
      <c r="J13" s="14" t="s">
        <v>229</v>
      </c>
      <c r="K13" s="25" t="s">
        <v>226</v>
      </c>
      <c r="L13" s="7"/>
    </row>
    <row r="14" spans="1:12" s="2" customFormat="1" x14ac:dyDescent="0.2">
      <c r="A14" s="13">
        <v>13</v>
      </c>
      <c r="B14" s="25" t="s">
        <v>230</v>
      </c>
      <c r="C14" s="24"/>
      <c r="D14" s="24" t="s">
        <v>202</v>
      </c>
      <c r="E14" s="5" t="s">
        <v>168</v>
      </c>
      <c r="F14" s="14">
        <v>8</v>
      </c>
      <c r="G14" s="14">
        <v>32</v>
      </c>
      <c r="H14" s="14">
        <v>1000</v>
      </c>
      <c r="I14" s="14" t="s">
        <v>231</v>
      </c>
      <c r="J14" s="14" t="s">
        <v>232</v>
      </c>
      <c r="K14" s="25" t="s">
        <v>226</v>
      </c>
      <c r="L14" s="7"/>
    </row>
    <row r="15" spans="1:12" s="2" customFormat="1" x14ac:dyDescent="0.2">
      <c r="A15" s="7">
        <v>14</v>
      </c>
      <c r="B15" s="25" t="s">
        <v>233</v>
      </c>
      <c r="C15" s="24"/>
      <c r="D15" s="24" t="s">
        <v>202</v>
      </c>
      <c r="E15" s="5" t="s">
        <v>168</v>
      </c>
      <c r="F15" s="14">
        <v>8</v>
      </c>
      <c r="G15" s="14">
        <v>32</v>
      </c>
      <c r="H15" s="14">
        <v>200</v>
      </c>
      <c r="I15" s="14" t="s">
        <v>234</v>
      </c>
      <c r="J15" s="14" t="s">
        <v>235</v>
      </c>
      <c r="K15" s="25" t="s">
        <v>236</v>
      </c>
      <c r="L15" s="7"/>
    </row>
    <row r="16" spans="1:12" s="2" customFormat="1" x14ac:dyDescent="0.2">
      <c r="A16" s="7">
        <v>15</v>
      </c>
      <c r="B16" s="25" t="s">
        <v>237</v>
      </c>
      <c r="C16" s="24"/>
      <c r="D16" s="24" t="s">
        <v>202</v>
      </c>
      <c r="E16" s="5" t="s">
        <v>168</v>
      </c>
      <c r="F16" s="14">
        <v>8</v>
      </c>
      <c r="G16" s="14">
        <v>32</v>
      </c>
      <c r="H16" s="14">
        <v>200</v>
      </c>
      <c r="I16" s="14" t="s">
        <v>238</v>
      </c>
      <c r="J16" s="14" t="s">
        <v>239</v>
      </c>
      <c r="K16" s="25" t="s">
        <v>236</v>
      </c>
      <c r="L16" s="7"/>
    </row>
    <row r="17" spans="1:12" s="2" customFormat="1" x14ac:dyDescent="0.2">
      <c r="A17" s="13">
        <v>16</v>
      </c>
      <c r="B17" s="25" t="s">
        <v>240</v>
      </c>
      <c r="C17" s="24"/>
      <c r="D17" s="24" t="s">
        <v>202</v>
      </c>
      <c r="E17" s="5" t="s">
        <v>168</v>
      </c>
      <c r="F17" s="14">
        <v>8</v>
      </c>
      <c r="G17" s="14">
        <v>32</v>
      </c>
      <c r="H17" s="14">
        <v>200</v>
      </c>
      <c r="I17" s="14" t="s">
        <v>241</v>
      </c>
      <c r="J17" s="14" t="s">
        <v>242</v>
      </c>
      <c r="K17" s="25" t="s">
        <v>236</v>
      </c>
      <c r="L17" s="7"/>
    </row>
    <row r="18" spans="1:12" s="2" customFormat="1" x14ac:dyDescent="0.2">
      <c r="A18" s="7">
        <v>17</v>
      </c>
      <c r="B18" s="7"/>
      <c r="C18" s="7"/>
      <c r="D18" s="7"/>
      <c r="E18" s="14"/>
      <c r="F18" s="14"/>
      <c r="G18" s="14"/>
      <c r="H18" s="14"/>
      <c r="I18" s="14"/>
      <c r="J18" s="14"/>
      <c r="K18" s="7"/>
      <c r="L18" s="7"/>
    </row>
    <row r="19" spans="1:12" s="2" customFormat="1" x14ac:dyDescent="0.2">
      <c r="A19" s="16" t="s">
        <v>22</v>
      </c>
      <c r="B19" s="7"/>
      <c r="C19" s="7"/>
      <c r="D19" s="7"/>
      <c r="E19" s="14"/>
      <c r="F19" s="14">
        <f>SUM(F2:F18)</f>
        <v>138</v>
      </c>
      <c r="G19" s="14">
        <f>SUM(G2:G18)</f>
        <v>484</v>
      </c>
      <c r="H19" s="14">
        <f>SUM(H2:H18)</f>
        <v>8300</v>
      </c>
      <c r="I19" s="14"/>
      <c r="J19" s="14"/>
      <c r="K19" s="7"/>
      <c r="L19" s="7"/>
    </row>
    <row r="21" spans="1:12" x14ac:dyDescent="0.2">
      <c r="B21" s="11" t="s">
        <v>243</v>
      </c>
      <c r="C21" s="11"/>
    </row>
    <row r="22" spans="1:12" x14ac:dyDescent="0.2">
      <c r="B22" s="11" t="s">
        <v>244</v>
      </c>
      <c r="C22" s="11"/>
    </row>
    <row r="24" spans="1:12" x14ac:dyDescent="0.2">
      <c r="B24" t="s">
        <v>245</v>
      </c>
    </row>
    <row r="26" spans="1:12" x14ac:dyDescent="0.2">
      <c r="B26" t="s">
        <v>246</v>
      </c>
    </row>
    <row r="28" spans="1:12" x14ac:dyDescent="0.2">
      <c r="B28" t="s">
        <v>247</v>
      </c>
    </row>
    <row r="29" spans="1:12" x14ac:dyDescent="0.2">
      <c r="B29" t="s">
        <v>248</v>
      </c>
    </row>
    <row r="32" spans="1:12" x14ac:dyDescent="0.2">
      <c r="B32" t="s">
        <v>249</v>
      </c>
    </row>
  </sheetData>
  <phoneticPr fontId="13" type="noConversion"/>
  <hyperlinks>
    <hyperlink ref="L4" r:id="rId1" xr:uid="{00000000-0004-0000-0A00-000000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workbookViewId="0">
      <selection activeCell="E12" sqref="E12"/>
    </sheetView>
  </sheetViews>
  <sheetFormatPr defaultColWidth="9" defaultRowHeight="14.25" x14ac:dyDescent="0.2"/>
  <cols>
    <col min="1" max="1" width="5.875" style="2" customWidth="1"/>
    <col min="2" max="2" width="12.625" style="2" customWidth="1"/>
    <col min="3" max="3" width="16.625" style="2" customWidth="1"/>
    <col min="4" max="4" width="11.375" style="2" customWidth="1"/>
    <col min="5" max="5" width="17.625" style="2" customWidth="1"/>
    <col min="6" max="7" width="14" style="2" customWidth="1"/>
    <col min="8" max="8" width="15.5" style="2" customWidth="1"/>
    <col min="9" max="9" width="18.5" style="2" customWidth="1"/>
    <col min="10" max="10" width="104.375" style="2" customWidth="1"/>
    <col min="11" max="16384" width="9" style="2"/>
  </cols>
  <sheetData>
    <row r="1" spans="1:10" s="1" customFormat="1" ht="27" customHeight="1" x14ac:dyDescent="0.25">
      <c r="A1" s="12" t="s">
        <v>161</v>
      </c>
      <c r="B1" s="12" t="s">
        <v>45</v>
      </c>
      <c r="C1" s="12" t="s">
        <v>162</v>
      </c>
      <c r="D1" s="12" t="s">
        <v>2</v>
      </c>
      <c r="E1" s="12" t="s">
        <v>3</v>
      </c>
      <c r="F1" s="12" t="s">
        <v>4</v>
      </c>
      <c r="G1" s="12" t="s">
        <v>163</v>
      </c>
      <c r="H1" s="12" t="s">
        <v>42</v>
      </c>
      <c r="I1" s="12" t="s">
        <v>7</v>
      </c>
      <c r="J1" s="19" t="s">
        <v>47</v>
      </c>
    </row>
    <row r="2" spans="1:10" ht="20.25" customHeight="1" x14ac:dyDescent="0.2">
      <c r="A2" s="13">
        <v>1</v>
      </c>
      <c r="B2" s="13" t="s">
        <v>166</v>
      </c>
      <c r="C2" s="13"/>
      <c r="D2" s="5"/>
      <c r="E2" s="5">
        <v>4</v>
      </c>
      <c r="F2" s="5">
        <v>8</v>
      </c>
      <c r="G2" s="5">
        <v>200</v>
      </c>
      <c r="H2" s="13"/>
      <c r="J2" s="20"/>
    </row>
    <row r="3" spans="1:10" ht="20.25" customHeight="1" x14ac:dyDescent="0.2">
      <c r="A3" s="7">
        <v>2</v>
      </c>
      <c r="B3" s="7" t="s">
        <v>205</v>
      </c>
      <c r="C3" s="7"/>
      <c r="D3" s="14"/>
      <c r="E3" s="14">
        <v>2</v>
      </c>
      <c r="F3" s="14">
        <v>4</v>
      </c>
      <c r="G3" s="14">
        <v>200</v>
      </c>
      <c r="H3" s="7"/>
      <c r="I3" s="77" t="s">
        <v>209</v>
      </c>
      <c r="J3" s="21"/>
    </row>
    <row r="4" spans="1:10" ht="20.25" customHeight="1" x14ac:dyDescent="0.2">
      <c r="A4" s="7">
        <v>3</v>
      </c>
      <c r="B4" s="7" t="s">
        <v>250</v>
      </c>
      <c r="C4" s="7"/>
      <c r="D4" s="14"/>
      <c r="E4" s="14">
        <v>2</v>
      </c>
      <c r="F4" s="14">
        <v>4</v>
      </c>
      <c r="G4" s="14">
        <v>200</v>
      </c>
      <c r="H4" s="7"/>
      <c r="I4" s="78"/>
      <c r="J4" s="21"/>
    </row>
    <row r="5" spans="1:10" x14ac:dyDescent="0.2">
      <c r="A5" s="7">
        <v>4</v>
      </c>
      <c r="B5" s="7" t="s">
        <v>171</v>
      </c>
      <c r="C5" s="7"/>
      <c r="D5" s="14"/>
      <c r="E5" s="14">
        <v>4</v>
      </c>
      <c r="F5" s="14">
        <v>8</v>
      </c>
      <c r="G5" s="14">
        <v>500</v>
      </c>
      <c r="H5" s="7"/>
      <c r="I5" s="77" t="s">
        <v>209</v>
      </c>
      <c r="J5" s="14"/>
    </row>
    <row r="6" spans="1:10" ht="20.25" customHeight="1" x14ac:dyDescent="0.2">
      <c r="A6" s="7">
        <v>5</v>
      </c>
      <c r="B6" s="7" t="s">
        <v>173</v>
      </c>
      <c r="C6" s="7"/>
      <c r="D6" s="14"/>
      <c r="E6" s="14">
        <v>4</v>
      </c>
      <c r="F6" s="14">
        <v>8</v>
      </c>
      <c r="G6" s="14">
        <v>500</v>
      </c>
      <c r="H6" s="7"/>
      <c r="I6" s="78"/>
      <c r="J6" s="14"/>
    </row>
    <row r="7" spans="1:10" ht="20.25" customHeight="1" x14ac:dyDescent="0.2">
      <c r="A7" s="7">
        <v>6</v>
      </c>
      <c r="B7" s="7" t="s">
        <v>174</v>
      </c>
      <c r="C7" s="7"/>
      <c r="D7" s="14"/>
      <c r="E7" s="14">
        <v>8</v>
      </c>
      <c r="F7" s="14">
        <v>32</v>
      </c>
      <c r="G7" s="14">
        <v>2000</v>
      </c>
      <c r="H7" s="7"/>
      <c r="I7" s="22"/>
      <c r="J7" s="5"/>
    </row>
    <row r="8" spans="1:10" x14ac:dyDescent="0.2">
      <c r="A8" s="7">
        <v>7</v>
      </c>
      <c r="B8" s="7" t="s">
        <v>178</v>
      </c>
      <c r="C8" s="7"/>
      <c r="D8" s="14"/>
      <c r="E8" s="14">
        <v>8</v>
      </c>
      <c r="F8" s="14">
        <v>16</v>
      </c>
      <c r="G8" s="14">
        <v>300</v>
      </c>
      <c r="H8" s="7"/>
      <c r="I8" s="23" t="s">
        <v>180</v>
      </c>
      <c r="J8" s="7"/>
    </row>
    <row r="9" spans="1:10" x14ac:dyDescent="0.2">
      <c r="A9" s="7">
        <v>8</v>
      </c>
      <c r="B9" s="7" t="s">
        <v>181</v>
      </c>
      <c r="C9" s="7"/>
      <c r="D9" s="14"/>
      <c r="E9" s="14">
        <v>8</v>
      </c>
      <c r="F9" s="14">
        <v>16</v>
      </c>
      <c r="G9" s="14">
        <v>300</v>
      </c>
      <c r="H9" s="7"/>
      <c r="I9" s="23" t="s">
        <v>180</v>
      </c>
      <c r="J9" s="7"/>
    </row>
    <row r="10" spans="1:10" x14ac:dyDescent="0.2">
      <c r="A10" s="7">
        <v>9</v>
      </c>
      <c r="B10" s="7" t="s">
        <v>183</v>
      </c>
      <c r="C10" s="7"/>
      <c r="D10" s="14"/>
      <c r="E10" s="14">
        <v>8</v>
      </c>
      <c r="F10" s="14">
        <v>16</v>
      </c>
      <c r="G10" s="14">
        <v>300</v>
      </c>
      <c r="H10" s="7"/>
      <c r="I10" s="23" t="s">
        <v>180</v>
      </c>
      <c r="J10" s="7"/>
    </row>
    <row r="11" spans="1:10" x14ac:dyDescent="0.2">
      <c r="A11" s="7">
        <v>10</v>
      </c>
      <c r="B11" s="7" t="s">
        <v>185</v>
      </c>
      <c r="C11" s="15"/>
      <c r="D11" s="14"/>
      <c r="E11" s="14">
        <v>4</v>
      </c>
      <c r="F11" s="14">
        <v>8</v>
      </c>
      <c r="G11" s="14">
        <v>200</v>
      </c>
      <c r="H11" s="7"/>
      <c r="I11" s="21"/>
      <c r="J11" s="21"/>
    </row>
    <row r="12" spans="1:10" x14ac:dyDescent="0.2">
      <c r="A12" s="7">
        <v>11</v>
      </c>
      <c r="B12" s="7" t="s">
        <v>187</v>
      </c>
      <c r="C12" s="15"/>
      <c r="D12" s="14"/>
      <c r="E12" s="14">
        <v>4</v>
      </c>
      <c r="F12" s="14">
        <v>8</v>
      </c>
      <c r="G12" s="14">
        <v>200</v>
      </c>
      <c r="H12" s="7"/>
      <c r="I12" s="21"/>
      <c r="J12" s="21"/>
    </row>
    <row r="13" spans="1:10" x14ac:dyDescent="0.2">
      <c r="A13" s="7">
        <v>12</v>
      </c>
      <c r="B13" s="7" t="s">
        <v>189</v>
      </c>
      <c r="C13" s="15"/>
      <c r="D13" s="14"/>
      <c r="E13" s="14">
        <v>16</v>
      </c>
      <c r="F13" s="14">
        <v>64</v>
      </c>
      <c r="G13" s="14">
        <v>300</v>
      </c>
      <c r="H13" s="7"/>
      <c r="I13" s="13"/>
      <c r="J13" s="13"/>
    </row>
    <row r="14" spans="1:10" x14ac:dyDescent="0.2">
      <c r="A14" s="7">
        <v>13</v>
      </c>
      <c r="B14" s="7" t="s">
        <v>190</v>
      </c>
      <c r="C14" s="15"/>
      <c r="D14" s="14"/>
      <c r="E14" s="14">
        <v>16</v>
      </c>
      <c r="F14" s="14">
        <v>64</v>
      </c>
      <c r="G14" s="14">
        <v>300</v>
      </c>
      <c r="H14" s="7"/>
      <c r="I14" s="13"/>
      <c r="J14" s="13"/>
    </row>
    <row r="15" spans="1:10" x14ac:dyDescent="0.2">
      <c r="A15" s="7">
        <v>14</v>
      </c>
      <c r="B15" s="7" t="s">
        <v>192</v>
      </c>
      <c r="C15" s="15"/>
      <c r="D15" s="14"/>
      <c r="E15" s="14">
        <v>16</v>
      </c>
      <c r="F15" s="14">
        <v>64</v>
      </c>
      <c r="G15" s="14">
        <v>300</v>
      </c>
      <c r="H15" s="7"/>
      <c r="I15" s="13"/>
      <c r="J15" s="13"/>
    </row>
    <row r="16" spans="1:10" x14ac:dyDescent="0.2">
      <c r="A16" s="7">
        <v>15</v>
      </c>
      <c r="B16" s="7" t="s">
        <v>194</v>
      </c>
      <c r="C16" s="15"/>
      <c r="D16" s="14"/>
      <c r="E16" s="14">
        <v>16</v>
      </c>
      <c r="F16" s="14">
        <v>64</v>
      </c>
      <c r="G16" s="14">
        <v>300</v>
      </c>
      <c r="H16" s="7"/>
      <c r="I16" s="7"/>
      <c r="J16" s="7"/>
    </row>
    <row r="17" spans="1:10" x14ac:dyDescent="0.2">
      <c r="A17" s="7">
        <v>16</v>
      </c>
      <c r="B17" s="7" t="s">
        <v>196</v>
      </c>
      <c r="C17" s="7"/>
      <c r="D17" s="14"/>
      <c r="E17" s="14">
        <v>16</v>
      </c>
      <c r="F17" s="14">
        <v>64</v>
      </c>
      <c r="G17" s="14">
        <v>300</v>
      </c>
      <c r="H17" s="7"/>
      <c r="I17" s="7"/>
      <c r="J17" s="7"/>
    </row>
    <row r="18" spans="1:10" x14ac:dyDescent="0.2">
      <c r="A18" s="7">
        <v>17</v>
      </c>
      <c r="B18" s="7"/>
      <c r="C18" s="7"/>
      <c r="D18" s="14"/>
      <c r="E18" s="14"/>
      <c r="F18" s="14"/>
      <c r="G18" s="14"/>
      <c r="H18" s="7"/>
      <c r="I18" s="7"/>
      <c r="J18" s="7"/>
    </row>
    <row r="19" spans="1:10" x14ac:dyDescent="0.2">
      <c r="A19" s="7">
        <v>18</v>
      </c>
      <c r="B19" s="7"/>
      <c r="C19" s="15"/>
      <c r="D19" s="14"/>
      <c r="E19" s="14"/>
      <c r="F19" s="14"/>
      <c r="G19" s="14"/>
      <c r="H19" s="7"/>
      <c r="I19" s="7"/>
      <c r="J19" s="7"/>
    </row>
    <row r="20" spans="1:10" x14ac:dyDescent="0.2">
      <c r="A20" s="7">
        <v>19</v>
      </c>
      <c r="B20" s="7"/>
      <c r="C20" s="7"/>
      <c r="D20" s="14"/>
      <c r="E20" s="14"/>
      <c r="F20" s="14"/>
      <c r="G20" s="14"/>
      <c r="H20" s="7"/>
      <c r="I20" s="7"/>
      <c r="J20" s="7"/>
    </row>
    <row r="21" spans="1:10" x14ac:dyDescent="0.2">
      <c r="A21" s="7">
        <v>20</v>
      </c>
      <c r="B21" s="7"/>
      <c r="C21" s="7"/>
      <c r="D21" s="14"/>
      <c r="E21" s="14"/>
      <c r="F21" s="14"/>
      <c r="G21" s="14"/>
      <c r="H21" s="7"/>
      <c r="I21" s="7"/>
      <c r="J21" s="7"/>
    </row>
    <row r="22" spans="1:10" x14ac:dyDescent="0.2">
      <c r="A22" s="7">
        <v>21</v>
      </c>
      <c r="B22" s="7"/>
      <c r="C22" s="7"/>
      <c r="D22" s="14"/>
      <c r="E22" s="14"/>
      <c r="F22" s="14"/>
      <c r="G22" s="14"/>
      <c r="H22" s="7"/>
      <c r="I22" s="7"/>
      <c r="J22" s="7"/>
    </row>
    <row r="23" spans="1:10" x14ac:dyDescent="0.2">
      <c r="A23" s="16" t="s">
        <v>22</v>
      </c>
      <c r="B23" s="7"/>
      <c r="C23" s="7"/>
      <c r="D23" s="14"/>
      <c r="E23" s="14">
        <f>SUM(E2:E17)</f>
        <v>136</v>
      </c>
      <c r="F23" s="14">
        <f>SUM(F2:F17)</f>
        <v>448</v>
      </c>
      <c r="G23" s="14">
        <f>SUM(G2:G17)</f>
        <v>6400</v>
      </c>
      <c r="H23" s="7"/>
      <c r="I23" s="7"/>
      <c r="J23" s="7"/>
    </row>
    <row r="24" spans="1:10" x14ac:dyDescent="0.2">
      <c r="D24" s="17"/>
      <c r="G24" s="17"/>
    </row>
    <row r="25" spans="1:10" x14ac:dyDescent="0.2">
      <c r="B25" s="18"/>
      <c r="C25" s="18"/>
      <c r="D25" s="18"/>
    </row>
    <row r="29" spans="1:10" x14ac:dyDescent="0.2">
      <c r="C29"/>
      <c r="D29"/>
    </row>
    <row r="30" spans="1:10" x14ac:dyDescent="0.2">
      <c r="C30"/>
      <c r="D30"/>
    </row>
  </sheetData>
  <mergeCells count="2">
    <mergeCell ref="I3:I4"/>
    <mergeCell ref="I5:I6"/>
  </mergeCells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activeCell="E12" sqref="E12"/>
    </sheetView>
  </sheetViews>
  <sheetFormatPr defaultColWidth="9" defaultRowHeight="14.25" x14ac:dyDescent="0.2"/>
  <cols>
    <col min="2" max="2" width="96.125" customWidth="1"/>
  </cols>
  <sheetData>
    <row r="1" spans="1:2" x14ac:dyDescent="0.2">
      <c r="A1" t="s">
        <v>251</v>
      </c>
    </row>
    <row r="2" spans="1:2" x14ac:dyDescent="0.2">
      <c r="B2" s="11" t="s">
        <v>243</v>
      </c>
    </row>
    <row r="3" spans="1:2" x14ac:dyDescent="0.2">
      <c r="B3" t="s">
        <v>252</v>
      </c>
    </row>
    <row r="4" spans="1:2" x14ac:dyDescent="0.2">
      <c r="B4" t="s">
        <v>253</v>
      </c>
    </row>
    <row r="5" spans="1:2" x14ac:dyDescent="0.2">
      <c r="B5" t="s">
        <v>254</v>
      </c>
    </row>
    <row r="6" spans="1:2" x14ac:dyDescent="0.2">
      <c r="B6" s="11" t="s">
        <v>255</v>
      </c>
    </row>
  </sheetData>
  <phoneticPr fontId="1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selection activeCell="E12" sqref="E12"/>
    </sheetView>
  </sheetViews>
  <sheetFormatPr defaultColWidth="8.875" defaultRowHeight="14.25" x14ac:dyDescent="0.2"/>
  <cols>
    <col min="1" max="1" width="16" customWidth="1"/>
    <col min="2" max="2" width="18.5" customWidth="1"/>
    <col min="3" max="3" width="19" customWidth="1"/>
  </cols>
  <sheetData>
    <row r="1" spans="1:4" ht="18" x14ac:dyDescent="0.2">
      <c r="A1" s="3" t="s">
        <v>256</v>
      </c>
      <c r="B1" s="3" t="s">
        <v>103</v>
      </c>
      <c r="C1" s="3" t="s">
        <v>257</v>
      </c>
      <c r="D1" s="3" t="s">
        <v>47</v>
      </c>
    </row>
    <row r="2" spans="1:4" x14ac:dyDescent="0.2">
      <c r="A2" t="s">
        <v>258</v>
      </c>
      <c r="B2" t="s">
        <v>259</v>
      </c>
      <c r="C2" t="s">
        <v>260</v>
      </c>
    </row>
    <row r="3" spans="1:4" x14ac:dyDescent="0.2">
      <c r="A3" t="s">
        <v>261</v>
      </c>
      <c r="B3" t="s">
        <v>262</v>
      </c>
      <c r="C3">
        <v>443</v>
      </c>
    </row>
  </sheetData>
  <phoneticPr fontId="1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>
      <selection activeCell="E12" sqref="E12"/>
    </sheetView>
  </sheetViews>
  <sheetFormatPr defaultColWidth="9" defaultRowHeight="14.25" x14ac:dyDescent="0.2"/>
  <cols>
    <col min="1" max="1" width="18.375" style="2" customWidth="1"/>
    <col min="2" max="3" width="24" style="2" customWidth="1"/>
    <col min="4" max="4" width="25" style="2" customWidth="1"/>
    <col min="5" max="5" width="26.875" style="2" customWidth="1"/>
    <col min="6" max="6" width="22.625" style="2" customWidth="1"/>
    <col min="7" max="7" width="29.5" style="2" customWidth="1"/>
    <col min="8" max="16384" width="9" style="2"/>
  </cols>
  <sheetData>
    <row r="1" spans="1:7" s="1" customFormat="1" ht="18" x14ac:dyDescent="0.25">
      <c r="A1" s="3" t="s">
        <v>263</v>
      </c>
      <c r="B1" s="3" t="s">
        <v>147</v>
      </c>
      <c r="C1" s="3" t="s">
        <v>264</v>
      </c>
      <c r="D1" s="3" t="s">
        <v>149</v>
      </c>
      <c r="E1" s="3" t="s">
        <v>47</v>
      </c>
    </row>
    <row r="2" spans="1:7" ht="20.25" customHeight="1" x14ac:dyDescent="0.2">
      <c r="A2" s="72" t="s">
        <v>259</v>
      </c>
      <c r="B2" s="4" t="s">
        <v>265</v>
      </c>
      <c r="C2" s="4" t="s">
        <v>266</v>
      </c>
      <c r="D2" s="79" t="s">
        <v>267</v>
      </c>
      <c r="E2" s="7"/>
    </row>
    <row r="3" spans="1:7" ht="20.25" customHeight="1" x14ac:dyDescent="0.2">
      <c r="A3" s="73"/>
      <c r="B3" s="4" t="s">
        <v>268</v>
      </c>
      <c r="C3" s="4" t="s">
        <v>269</v>
      </c>
      <c r="D3" s="80"/>
      <c r="E3" s="7"/>
    </row>
    <row r="4" spans="1:7" ht="30.95" customHeight="1" x14ac:dyDescent="0.2">
      <c r="A4" s="72" t="s">
        <v>262</v>
      </c>
      <c r="B4" s="4" t="s">
        <v>270</v>
      </c>
      <c r="C4" s="4" t="s">
        <v>266</v>
      </c>
      <c r="D4" s="79" t="s">
        <v>271</v>
      </c>
      <c r="E4" s="7"/>
    </row>
    <row r="5" spans="1:7" ht="51" customHeight="1" x14ac:dyDescent="0.2">
      <c r="A5" s="73"/>
      <c r="B5" s="4" t="s">
        <v>272</v>
      </c>
      <c r="C5" s="4" t="s">
        <v>269</v>
      </c>
      <c r="D5" s="80"/>
      <c r="E5" s="8" t="s">
        <v>273</v>
      </c>
      <c r="G5" s="9" t="s">
        <v>274</v>
      </c>
    </row>
    <row r="6" spans="1:7" x14ac:dyDescent="0.2">
      <c r="D6" s="6"/>
    </row>
    <row r="8" spans="1:7" x14ac:dyDescent="0.2">
      <c r="A8" s="2" t="s">
        <v>275</v>
      </c>
      <c r="C8" s="2" t="s">
        <v>276</v>
      </c>
    </row>
    <row r="9" spans="1:7" x14ac:dyDescent="0.2">
      <c r="A9" s="2" t="s">
        <v>277</v>
      </c>
    </row>
    <row r="10" spans="1:7" x14ac:dyDescent="0.2">
      <c r="A10" s="2" t="s">
        <v>278</v>
      </c>
    </row>
    <row r="11" spans="1:7" ht="242.25" x14ac:dyDescent="0.2">
      <c r="A11" s="10" t="s">
        <v>279</v>
      </c>
    </row>
  </sheetData>
  <mergeCells count="4">
    <mergeCell ref="A2:A3"/>
    <mergeCell ref="A4:A5"/>
    <mergeCell ref="D2:D3"/>
    <mergeCell ref="D4:D5"/>
  </mergeCells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>
      <selection activeCell="E12" sqref="E12"/>
    </sheetView>
  </sheetViews>
  <sheetFormatPr defaultColWidth="9" defaultRowHeight="14.25" x14ac:dyDescent="0.2"/>
  <cols>
    <col min="1" max="1" width="18.375" style="2" customWidth="1"/>
    <col min="2" max="3" width="24" style="2" customWidth="1"/>
    <col min="4" max="4" width="25" style="2" customWidth="1"/>
    <col min="5" max="16384" width="9" style="2"/>
  </cols>
  <sheetData>
    <row r="1" spans="1:4" s="1" customFormat="1" ht="18" x14ac:dyDescent="0.25">
      <c r="A1" s="3" t="s">
        <v>263</v>
      </c>
      <c r="B1" s="3" t="s">
        <v>147</v>
      </c>
      <c r="C1" s="3" t="s">
        <v>264</v>
      </c>
      <c r="D1" s="3" t="s">
        <v>149</v>
      </c>
    </row>
    <row r="2" spans="1:4" ht="20.25" customHeight="1" x14ac:dyDescent="0.2">
      <c r="A2" s="72" t="s">
        <v>55</v>
      </c>
      <c r="B2" s="4" t="s">
        <v>48</v>
      </c>
      <c r="C2" s="4" t="s">
        <v>266</v>
      </c>
      <c r="D2" s="79" t="s">
        <v>280</v>
      </c>
    </row>
    <row r="3" spans="1:4" ht="20.25" customHeight="1" x14ac:dyDescent="0.2">
      <c r="A3" s="73"/>
      <c r="B3" s="4" t="s">
        <v>56</v>
      </c>
      <c r="C3" s="4" t="s">
        <v>269</v>
      </c>
      <c r="D3" s="80"/>
    </row>
    <row r="4" spans="1:4" ht="20.25" customHeight="1" x14ac:dyDescent="0.2">
      <c r="A4" s="72" t="s">
        <v>85</v>
      </c>
      <c r="B4" s="4" t="s">
        <v>77</v>
      </c>
      <c r="C4" s="4" t="s">
        <v>266</v>
      </c>
      <c r="D4" s="79" t="s">
        <v>281</v>
      </c>
    </row>
    <row r="5" spans="1:4" ht="20.25" customHeight="1" x14ac:dyDescent="0.2">
      <c r="A5" s="73"/>
      <c r="B5" s="4" t="s">
        <v>86</v>
      </c>
      <c r="C5" s="4" t="s">
        <v>269</v>
      </c>
      <c r="D5" s="80"/>
    </row>
    <row r="6" spans="1:4" x14ac:dyDescent="0.2">
      <c r="D6" s="6"/>
    </row>
  </sheetData>
  <mergeCells count="4">
    <mergeCell ref="A2:A3"/>
    <mergeCell ref="A4:A5"/>
    <mergeCell ref="D2:D3"/>
    <mergeCell ref="D4:D5"/>
  </mergeCells>
  <phoneticPr fontId="13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新系统生产服务器</vt:lpstr>
      <vt:lpstr>生产服务器</vt:lpstr>
      <vt:lpstr>原服务器与微服务对应关系</vt:lpstr>
      <vt:lpstr>原生产服务器</vt:lpstr>
      <vt:lpstr>原SAN存储</vt:lpstr>
      <vt:lpstr>原内外服务器映射</vt:lpstr>
      <vt:lpstr>业务虚拟机生产 (2)</vt:lpstr>
      <vt:lpstr>业务虚拟机生产-B中心</vt:lpstr>
      <vt:lpstr>k8s集群使用说明-B中心</vt:lpstr>
      <vt:lpstr>最小配置</vt:lpstr>
      <vt:lpstr>业务虚拟机</vt:lpstr>
      <vt:lpstr>安装说明</vt:lpstr>
      <vt:lpstr>生产环境应用</vt:lpstr>
      <vt:lpstr>服务器高可用配置</vt:lpstr>
      <vt:lpstr>原服务器高可用配置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jichunhu</cp:lastModifiedBy>
  <dcterms:created xsi:type="dcterms:W3CDTF">2015-06-05T18:17:00Z</dcterms:created>
  <dcterms:modified xsi:type="dcterms:W3CDTF">2026-10-23T03:13:31Z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C982145C11D948D99EF3D59990385BD1_13</vt:lpwstr>
  </property>
</Properties>
</file>